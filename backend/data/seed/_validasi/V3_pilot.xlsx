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serta" sheetId="1" state="visible" r:id="rId3"/>
    <sheet name="Ringkas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<sst xmlns="http://schemas.openxmlformats.org/spreadsheetml/2006/main" count="318" uniqueCount="162">
  <si>
    <t xml:space="preserve">kode</t>
  </si>
  <si>
    <t xml:space="preserve">tanggal</t>
  </si>
  <si>
    <t xml:space="preserve">prodi</t>
  </si>
  <si>
    <t xml:space="preserve">semester</t>
  </si>
  <si>
    <t xml:space="preserve">urutan</t>
  </si>
  <si>
    <t xml:space="preserve">T1 paham tujuan</t>
  </si>
  <si>
    <t xml:space="preserve">T2 sampai langkah pertama</t>
  </si>
  <si>
    <t xml:space="preserve">T2 menit</t>
  </si>
  <si>
    <t xml:space="preserve">T3 Quick Check selesai</t>
  </si>
  <si>
    <t xml:space="preserve">T3 menit</t>
  </si>
  <si>
    <t xml:space="preserve">T4 jawab benar</t>
  </si>
  <si>
    <t xml:space="preserve">T4 detik</t>
  </si>
  <si>
    <t xml:space="preserve">T5a Bottleneck</t>
  </si>
  <si>
    <t xml:space="preserve">T5b Prove It</t>
  </si>
  <si>
    <t xml:space="preserve">Q1 U</t>
  </si>
  <si>
    <t xml:space="preserve">Q2 U</t>
  </si>
  <si>
    <t xml:space="preserve">Q3 U</t>
  </si>
  <si>
    <t xml:space="preserve">Q1 P</t>
  </si>
  <si>
    <t xml:space="preserve">Q2 P</t>
  </si>
  <si>
    <t xml:space="preserve">Q3 P</t>
  </si>
  <si>
    <t xml:space="preserve">SUS1</t>
  </si>
  <si>
    <t xml:space="preserve">SUS2</t>
  </si>
  <si>
    <t xml:space="preserve">SUS3</t>
  </si>
  <si>
    <t xml:space="preserve">SUS4</t>
  </si>
  <si>
    <t xml:space="preserve">SUS5</t>
  </si>
  <si>
    <t xml:space="preserve">SUS6</t>
  </si>
  <si>
    <t xml:space="preserve">SUS7</t>
  </si>
  <si>
    <t xml:space="preserve">SUS8</t>
  </si>
  <si>
    <t xml:space="preserve">SUS9</t>
  </si>
  <si>
    <t xml:space="preserve">SUS10</t>
  </si>
  <si>
    <t xml:space="preserve">skor SUS</t>
  </si>
  <si>
    <t xml:space="preserve">paling membantu</t>
  </si>
  <si>
    <t xml:space="preserve">membingungkan</t>
  </si>
  <si>
    <t xml:space="preserve">pakai lagi? kenapa</t>
  </si>
  <si>
    <t xml:space="preserve">titik macet / catatan</t>
  </si>
  <si>
    <t xml:space="preserve">P01</t>
  </si>
  <si>
    <t xml:space="preserve">Sistem Informasi</t>
  </si>
  <si>
    <t xml:space="preserve">Saran umum dulu</t>
  </si>
  <si>
    <t xml:space="preserve">ya</t>
  </si>
  <si>
    <t xml:space="preserve">tidak</t>
  </si>
  <si>
    <t xml:space="preserve">Daftar skill di dashboard lumayan ngebantu, minimal jadi tahu skill apa aja yang dicari perusahaan.</t>
  </si>
  <si>
    <t xml:space="preserve">Pas isi profil bingung transkrip mau ditempel di mana, kolomnya gak keliatan.</t>
  </si>
  <si>
    <t xml:space="preserve">Belum yakin. Mungkin kalau bagian isi profilnya dibikin lebih simpel.</t>
  </si>
  <si>
    <t xml:space="preserve">T2 gagal: macet di halaman profil ±7 menit, nyari tempat tempel transkrip. T3 tidak dikerjakan. T5a/T5b tidak bisa dijelaskan.</t>
  </si>
  <si>
    <t xml:space="preserve">P02</t>
  </si>
  <si>
    <t xml:space="preserve">PathSync dulu</t>
  </si>
  <si>
    <t xml:space="preserve">Rute belajarnya urut dari yang dasar, jadi gak bingung mau mulai dari mana.</t>
  </si>
  <si>
    <t xml:space="preserve">Soal Quick Check topiknya lompat-lompat, saya berhenti di tengah.</t>
  </si>
  <si>
    <t xml:space="preserve">Iya kayaknya, bakal buka lagi tiap mau ambil kursus baru.</t>
  </si>
  <si>
    <t xml:space="preserve">T3 berhenti di soal ke-3 (±3 menit), katanya topiknya ganti-ganti terus. T5a/T5b tidak bisa dijelaskan.</t>
  </si>
  <si>
    <t xml:space="preserve">P03</t>
  </si>
  <si>
    <t xml:space="preserve">Teknik Industri</t>
  </si>
  <si>
    <t xml:space="preserve">Ada alasan kenapa satu skill didahulukan, bukan cuma daftar doang.</t>
  </si>
  <si>
    <t xml:space="preserve">Beberapa soal Quick Check bahasanya terlalu teknis buat saya, jadinya nyerah.</t>
  </si>
  <si>
    <t xml:space="preserve">Ya, soalnya rekomendasinya nyambung sama mata kuliah yang udah saya ambil.</t>
  </si>
  <si>
    <t xml:space="preserve">T3 berhenti di soal ke-4, bilang soalnya terlalu teknis.</t>
  </si>
  <si>
    <t xml:space="preserve">P04</t>
  </si>
  <si>
    <t xml:space="preserve">Manajemen</t>
  </si>
  <si>
    <t xml:space="preserve">Quick Check. Langsung ketahuan posisi saya di mana.</t>
  </si>
  <si>
    <t xml:space="preserve">Nyari keterangan warna di Skill Map lama, tulisannya kecil banget.</t>
  </si>
  <si>
    <t xml:space="preserve">Mungkin, asal rekomendasinya diperbarui terus.</t>
  </si>
  <si>
    <t xml:space="preserve">T4 benar tapi 31 detik, sempat nyari legenda warna Skill Map. T5b tidak bisa menjelaskan Prove It.</t>
  </si>
  <si>
    <t xml:space="preserve">P05</t>
  </si>
  <si>
    <t xml:space="preserve">Bagian Your Next Step, jelas banget jadi tahu minggu ini harus ngapain.</t>
  </si>
  <si>
    <t xml:space="preserve">Hampir semuanya jelas sih. Cuma tulisan Prove It awalnya saya kira tombol.</t>
  </si>
  <si>
    <t xml:space="preserve">Iya, buat ngecek progres skill tiap beberapa minggu.</t>
  </si>
  <si>
    <t xml:space="preserve">Sempat klik tulisan Prove It karena dikira tombol.</t>
  </si>
  <si>
    <t xml:space="preserve">P06</t>
  </si>
  <si>
    <t xml:space="preserve">Skill Map. Warnanya enak dibaca, cepet ngerti mana yang kuat mana yang lemah.</t>
  </si>
  <si>
    <t xml:space="preserve">Gak ada yang bikin bingung banget. Teks pembuka sebelum tombol mulai agak kepanjangan aja.</t>
  </si>
  <si>
    <t xml:space="preserve">Iya, lebih terarah daripada baca-baca artikel sendiri.</t>
  </si>
  <si>
    <t xml:space="preserve">P07</t>
  </si>
  <si>
    <t xml:space="preserve">Informatika</t>
  </si>
  <si>
    <t xml:space="preserve">Langkah pertamanya dikasih konkret. Biasanya saya bingung harus belajar dari mana dulu.</t>
  </si>
  <si>
    <t xml:space="preserve">Istilah Bottleneck sama Prove It asing di awal, baru paham setelah baca penjelasannya.</t>
  </si>
  <si>
    <t xml:space="preserve">Ya. Kalau nanti ada versi bahasa Indonesia lebih enak lagi.</t>
  </si>
  <si>
    <t xml:space="preserve">P08</t>
  </si>
  <si>
    <t xml:space="preserve">Peta skill dan rute belajarnya rapi, urutannya kelihatan.</t>
  </si>
  <si>
    <t xml:space="preserve">Saya gak tahu tanda Bottleneck itu artinya bagus atau jelek.</t>
  </si>
  <si>
    <t xml:space="preserve">Ya, bakal saya buka lagi sebelum lamar magang semester depan.</t>
  </si>
  <si>
    <t xml:space="preserve">T5a: mengira Bottleneck itu tanda error/negatif. Prove It dijelaskan dengan benar.</t>
  </si>
  <si>
    <t xml:space="preserve">P09</t>
  </si>
  <si>
    <t xml:space="preserve">Cepet banget kelihatan skill mana yang harus ditutup dulu sebelum lulus.</t>
  </si>
  <si>
    <t xml:space="preserve">Loading halaman pertama agak lama, sempat kirain hang.</t>
  </si>
  <si>
    <t xml:space="preserve">Ya, soalnya sebentar lagi lulus dan saya butuh arah.</t>
  </si>
  <si>
    <t xml:space="preserve">P10</t>
  </si>
  <si>
    <t xml:space="preserve">Hasil Quick Check yang langsung nyambung ke skill yang mesti dipelajari.</t>
  </si>
  <si>
    <t xml:space="preserve">Prove It. Saya gak ngerti bedanya sama Quick Check, sama-sama ngetes kan?</t>
  </si>
  <si>
    <t xml:space="preserve">Iya, mau coba lagi semester depan.</t>
  </si>
  <si>
    <t xml:space="preserve">T5b: menyebut Prove It sebagai 'tes ulang'. T4 29 detik (mepet).</t>
  </si>
  <si>
    <t xml:space="preserve">P11</t>
  </si>
  <si>
    <t xml:space="preserve">Dashboard-nya ringkas, langsung ke inti.</t>
  </si>
  <si>
    <t xml:space="preserve">Gak jelas satu langkah belajar itu sebaiknya dikerjain berapa lama.</t>
  </si>
  <si>
    <t xml:space="preserve">Mungkin, tergantung rekomendasinya sering berubah atau nggak.</t>
  </si>
  <si>
    <t xml:space="preserve">P12</t>
  </si>
  <si>
    <t xml:space="preserve">Bagian prasyarat antar skill di Skill Map. Baru sadar saya loncat dari dasar.</t>
  </si>
  <si>
    <t xml:space="preserve">Kotak di Skill Map terlalu banyak, saya lama nyari yang dimaksud.</t>
  </si>
  <si>
    <t xml:space="preserve">Ya sih, tapi mau lihat dulu rekomendasinya kalau pakai transkrip yang terbaru.</t>
  </si>
  <si>
    <t xml:space="preserve">T4 44 detik, jawaban benar tapi lama (nyari di Skill Map). T5a dan T5b tidak bisa dijelaskan.</t>
  </si>
  <si>
    <t xml:space="preserve">P13</t>
  </si>
  <si>
    <t xml:space="preserve">Quick Check. Lumayan seru, kayak ngetes diri sendiri sebelum dikasih saran.</t>
  </si>
  <si>
    <t xml:space="preserve">Ngisi profil di awal lumayan panjang, hampir males.</t>
  </si>
  <si>
    <t xml:space="preserve">Iya, apalagi kalau bisa dipakai tiap ada lowongan baru.</t>
  </si>
  <si>
    <t xml:space="preserve">T2 4,8 menit (mepet batas 5), sempat bolak-balik di halaman profil.</t>
  </si>
  <si>
    <t xml:space="preserve">P14</t>
  </si>
  <si>
    <t xml:space="preserve">Tampilannya gak ribet, tombolnya sedikit jadi gak pusing.</t>
  </si>
  <si>
    <t xml:space="preserve">Kurang ngeh bedanya skill 'kuat' sama 'perlu dibuktikan' di Skill Map.</t>
  </si>
  <si>
    <t xml:space="preserve">Ya, tapi lebih enak kalau UI-nya ada bahasa Indonesia.</t>
  </si>
  <si>
    <t xml:space="preserve">P15</t>
  </si>
  <si>
    <t xml:space="preserve">Penjelasan singkat di bawah rekomendasi, kenapa skill itu yang dipilih.</t>
  </si>
  <si>
    <t xml:space="preserve">Dari awal saya kira ini situs buat cari lowongan kerja, jadi sempat salah arah.</t>
  </si>
  <si>
    <t xml:space="preserve">Belum tahu, tadi masih bingung. Mungkin kalau ada panduan singkat di awal.</t>
  </si>
  <si>
    <t xml:space="preserve">T1 tidak paham tujuan (mengira portal lowongan). Macet &gt;2 menit setelah daftar, T2 gagal (6 menit). T3 dilewati.</t>
  </si>
  <si>
    <t xml:space="preserve">P16</t>
  </si>
  <si>
    <t xml:space="preserve">Urutan belajarnya masuk akal, dari dasar baru ke yang lanjut.</t>
  </si>
  <si>
    <t xml:space="preserve">Gak ada yang bikin bingung banget, paling ukuran tulisan di Skill Map.</t>
  </si>
  <si>
    <t xml:space="preserve">Ya, langkah pertamanya jelas jadi bisa langsung saya kerjain malam ini.</t>
  </si>
  <si>
    <t xml:space="preserve">P17</t>
  </si>
  <si>
    <t xml:space="preserve">Skill Map, jadi tahu skill mana yang udah lumayan.</t>
  </si>
  <si>
    <t xml:space="preserve">Gak yakin hasil Quick Check seakurat apa buat nilai kemampuan saya, soalnya soalnya sedikit.</t>
  </si>
  <si>
    <t xml:space="preserve">Mungkin, lihat dulu nanti rekomendasinya makin pas atau nggak.</t>
  </si>
  <si>
    <t xml:space="preserve">P18</t>
  </si>
  <si>
    <t xml:space="preserve">Dashboard-nya bersih, langkah pertama langsung kelihatan.</t>
  </si>
  <si>
    <t xml:space="preserve">Gak ngerti arti Bottleneck sama Prove It, gak ada keterangan di dekat tombolnya.</t>
  </si>
  <si>
    <t xml:space="preserve">Ya, tapi perlu penjelasan istilahnya dulu.</t>
  </si>
  <si>
    <t xml:space="preserve">T5a dan T5b tidak bisa dijelaskan, komentar: 'istilahnya aneh'.</t>
  </si>
  <si>
    <t xml:space="preserve">P19</t>
  </si>
  <si>
    <t xml:space="preserve">Quick Check cepet, jawabannya langsung ada feedback jadi gak nunggu lama.</t>
  </si>
  <si>
    <t xml:space="preserve">Gak yakin kenapa skill tertentu ditandai mendesak.</t>
  </si>
  <si>
    <t xml:space="preserve">Ya, bakal saya pakai buat siap-siap magang.</t>
  </si>
  <si>
    <t xml:space="preserve">P20</t>
  </si>
  <si>
    <t xml:space="preserve">Skill dari transkrip yang saya tempel kebaca otomatis, jadi gak perlu isi manual satu-satu.</t>
  </si>
  <si>
    <t xml:space="preserve">Setelah tempel transkrip, saya ragu semua mata kuliah ke-detect.</t>
  </si>
  <si>
    <t xml:space="preserve">Iya, karena jadi sadar harus mulai dari mana.</t>
  </si>
  <si>
    <t xml:space="preserve">Sempat cek ulang transkrip untuk memastikan semua mata kuliah terbaca.</t>
  </si>
  <si>
    <t xml:space="preserve">ukuran</t>
  </si>
  <si>
    <t xml:space="preserve">nilai</t>
  </si>
  <si>
    <t xml:space="preserve">target</t>
  </si>
  <si>
    <t xml:space="preserve">jumlah peserta terisi</t>
  </si>
  <si>
    <t xml:space="preserve">10-20</t>
  </si>
  <si>
    <t xml:space="preserve">sukses T1 paham tujuan</t>
  </si>
  <si>
    <t xml:space="preserve">≥ 80%</t>
  </si>
  <si>
    <t xml:space="preserve">sukses T2 sampai langkah pertama</t>
  </si>
  <si>
    <t xml:space="preserve">sukses T3 Quick Check selesai</t>
  </si>
  <si>
    <t xml:space="preserve">≥ 60%</t>
  </si>
  <si>
    <t xml:space="preserve">sukses T4 jawab benar</t>
  </si>
  <si>
    <t xml:space="preserve">sukses T5a Bottleneck</t>
  </si>
  <si>
    <t xml:space="preserve">sukses T5b Prove It</t>
  </si>
  <si>
    <t xml:space="preserve">median T2 menit</t>
  </si>
  <si>
    <t xml:space="preserve">≤ 5</t>
  </si>
  <si>
    <t xml:space="preserve">median T3 menit</t>
  </si>
  <si>
    <t xml:space="preserve">median T4 detik</t>
  </si>
  <si>
    <t xml:space="preserve">≤ 30</t>
  </si>
  <si>
    <t xml:space="preserve">rata-rata Q1 saran umum</t>
  </si>
  <si>
    <t xml:space="preserve">rata-rata Q1 PathSync</t>
  </si>
  <si>
    <t xml:space="preserve">≥ 4,0 untuk Q1</t>
  </si>
  <si>
    <t xml:space="preserve">rata-rata Q2 saran umum</t>
  </si>
  <si>
    <t xml:space="preserve">rata-rata Q2 PathSync</t>
  </si>
  <si>
    <t xml:space="preserve">rata-rata Q3 saran umum</t>
  </si>
  <si>
    <t xml:space="preserve">rata-rata Q3 PathSync</t>
  </si>
  <si>
    <t xml:space="preserve">rata-rata skor SUS</t>
  </si>
  <si>
    <t xml:space="preserve">≥ 70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</si>
</sst>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5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17"/>
    <col collapsed="false" customWidth="true" hidden="false" outlineLevel="0" max="31" min="6" style="1" width="12"/>
    <col collapsed="false" customWidth="true" hidden="false" outlineLevel="0" max="35" min="32" style="1" width="36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customFormat="false" ht="27.75" hidden="false" customHeight="true" outlineLevel="0" collapsed="false">
      <c r="A2" s="1" t="s">
        <v>35</v>
      </c>
      <c r="B2" s="3" t="n">
        <v>46308</v>
      </c>
      <c r="C2" s="4" t="s">
        <v>36</v>
      </c>
      <c r="D2" s="4" t="n">
        <v>7</v>
      </c>
      <c r="E2" s="1" t="s">
        <v>37</v>
      </c>
      <c r="F2" s="4" t="s">
        <v>38</v>
      </c>
      <c r="G2" s="4" t="s">
        <v>39</v>
      </c>
      <c r="H2" s="4" t="n">
        <v>7.2</v>
      </c>
      <c r="I2" s="4" t="s">
        <v>39</v>
      </c>
      <c r="J2" s="4"/>
      <c r="K2" s="4" t="s">
        <v>38</v>
      </c>
      <c r="L2" s="4" t="n">
        <v>27</v>
      </c>
      <c r="M2" s="4" t="s">
        <v>39</v>
      </c>
      <c r="N2" s="4" t="s">
        <v>39</v>
      </c>
      <c r="O2" s="5" t="n">
        <v>2</v>
      </c>
      <c r="P2" s="5" t="n">
        <v>2</v>
      </c>
      <c r="Q2" s="5" t="n">
        <v>3</v>
      </c>
      <c r="R2" s="5" t="n">
        <v>2</v>
      </c>
      <c r="S2" s="5" t="n">
        <v>3</v>
      </c>
      <c r="T2" s="5" t="n">
        <v>4</v>
      </c>
      <c r="U2" s="5" t="n">
        <v>3</v>
      </c>
      <c r="V2" s="5" t="n">
        <v>3</v>
      </c>
      <c r="W2" s="5" t="n">
        <v>2</v>
      </c>
      <c r="X2" s="5" t="n">
        <v>3</v>
      </c>
      <c r="Y2" s="5" t="n">
        <v>3</v>
      </c>
      <c r="Z2" s="5" t="n">
        <v>3</v>
      </c>
      <c r="AA2" s="5" t="n">
        <v>4</v>
      </c>
      <c r="AB2" s="5" t="n">
        <v>2</v>
      </c>
      <c r="AC2" s="5" t="n">
        <v>4</v>
      </c>
      <c r="AD2" s="5" t="n">
        <v>4</v>
      </c>
      <c r="AE2" s="1" t="n">
        <f aca="false">IF(COUNT(U2:AD2)=10,((U2-1)+(W2-1)+(Y2-1)+(AA2-1)+(AC2-1)+(5-V2)+(5-X2)+(5-Z2)+(5-AB2)+(5-AD2))*2.5,"")</f>
        <v>52.5</v>
      </c>
      <c r="AF2" s="6" t="s">
        <v>40</v>
      </c>
      <c r="AG2" s="6" t="s">
        <v>41</v>
      </c>
      <c r="AH2" s="6" t="s">
        <v>42</v>
      </c>
      <c r="AI2" s="6" t="s">
        <v>43</v>
      </c>
    </row>
    <row r="3" customFormat="false" ht="27.75" hidden="false" customHeight="true" outlineLevel="0" collapsed="false">
      <c r="A3" s="1" t="s">
        <v>44</v>
      </c>
      <c r="B3" s="3" t="n">
        <v>46308</v>
      </c>
      <c r="C3" s="4" t="s">
        <v>36</v>
      </c>
      <c r="D3" s="4" t="n">
        <v>7</v>
      </c>
      <c r="E3" s="1" t="s">
        <v>45</v>
      </c>
      <c r="F3" s="4" t="s">
        <v>38</v>
      </c>
      <c r="G3" s="4" t="s">
        <v>38</v>
      </c>
      <c r="H3" s="4" t="n">
        <v>4.5</v>
      </c>
      <c r="I3" s="4" t="s">
        <v>39</v>
      </c>
      <c r="J3" s="4" t="n">
        <v>3</v>
      </c>
      <c r="K3" s="4" t="s">
        <v>38</v>
      </c>
      <c r="L3" s="4" t="n">
        <v>21</v>
      </c>
      <c r="M3" s="4" t="s">
        <v>39</v>
      </c>
      <c r="N3" s="4" t="s">
        <v>39</v>
      </c>
      <c r="O3" s="5" t="n">
        <v>3</v>
      </c>
      <c r="P3" s="5" t="n">
        <v>2</v>
      </c>
      <c r="Q3" s="5" t="n">
        <v>3</v>
      </c>
      <c r="R3" s="5" t="n">
        <v>3</v>
      </c>
      <c r="S3" s="5" t="n">
        <v>4</v>
      </c>
      <c r="T3" s="5" t="n">
        <v>3</v>
      </c>
      <c r="U3" s="5" t="n">
        <v>4</v>
      </c>
      <c r="V3" s="5" t="n">
        <v>2</v>
      </c>
      <c r="W3" s="5" t="n">
        <v>4</v>
      </c>
      <c r="X3" s="5" t="n">
        <v>1</v>
      </c>
      <c r="Y3" s="5" t="n">
        <v>5</v>
      </c>
      <c r="Z3" s="5" t="n">
        <v>3</v>
      </c>
      <c r="AA3" s="5" t="n">
        <v>2</v>
      </c>
      <c r="AB3" s="5" t="n">
        <v>1</v>
      </c>
      <c r="AC3" s="5" t="n">
        <v>3</v>
      </c>
      <c r="AD3" s="5" t="n">
        <v>2</v>
      </c>
      <c r="AE3" s="1" t="n">
        <f aca="false">IF(COUNT(U3:AD3)=10,((U3-1)+(W3-1)+(Y3-1)+(AA3-1)+(AC3-1)+(5-V3)+(5-X3)+(5-Z3)+(5-AB3)+(5-AD3))*2.5,"")</f>
        <v>72.5</v>
      </c>
      <c r="AF3" s="6" t="s">
        <v>46</v>
      </c>
      <c r="AG3" s="6" t="s">
        <v>47</v>
      </c>
      <c r="AH3" s="6" t="s">
        <v>48</v>
      </c>
      <c r="AI3" s="6" t="s">
        <v>49</v>
      </c>
    </row>
    <row r="4" customFormat="false" ht="41.25" hidden="false" customHeight="true" outlineLevel="0" collapsed="false">
      <c r="A4" s="1" t="s">
        <v>50</v>
      </c>
      <c r="B4" s="3" t="n">
        <v>46308</v>
      </c>
      <c r="C4" s="4" t="s">
        <v>51</v>
      </c>
      <c r="D4" s="4" t="n">
        <v>8</v>
      </c>
      <c r="E4" s="1" t="s">
        <v>37</v>
      </c>
      <c r="F4" s="4" t="s">
        <v>38</v>
      </c>
      <c r="G4" s="4" t="s">
        <v>38</v>
      </c>
      <c r="H4" s="4" t="n">
        <v>4.1</v>
      </c>
      <c r="I4" s="4" t="s">
        <v>39</v>
      </c>
      <c r="J4" s="4" t="n">
        <v>3.1</v>
      </c>
      <c r="K4" s="4" t="s">
        <v>38</v>
      </c>
      <c r="L4" s="4" t="n">
        <v>20</v>
      </c>
      <c r="M4" s="4" t="s">
        <v>38</v>
      </c>
      <c r="N4" s="4" t="s">
        <v>38</v>
      </c>
      <c r="O4" s="5" t="n">
        <v>3</v>
      </c>
      <c r="P4" s="5" t="n">
        <v>1</v>
      </c>
      <c r="Q4" s="5" t="n">
        <v>5</v>
      </c>
      <c r="R4" s="5" t="n">
        <v>2</v>
      </c>
      <c r="S4" s="5" t="n">
        <v>4</v>
      </c>
      <c r="T4" s="5" t="n">
        <v>4</v>
      </c>
      <c r="U4" s="5" t="n">
        <v>4</v>
      </c>
      <c r="V4" s="5" t="n">
        <v>2</v>
      </c>
      <c r="W4" s="5" t="n">
        <v>5</v>
      </c>
      <c r="X4" s="5" t="n">
        <v>2</v>
      </c>
      <c r="Y4" s="5" t="n">
        <v>4</v>
      </c>
      <c r="Z4" s="5" t="n">
        <v>2</v>
      </c>
      <c r="AA4" s="5" t="n">
        <v>3</v>
      </c>
      <c r="AB4" s="5" t="n">
        <v>1</v>
      </c>
      <c r="AC4" s="5" t="n">
        <v>3</v>
      </c>
      <c r="AD4" s="5" t="n">
        <v>2</v>
      </c>
      <c r="AE4" s="1" t="n">
        <f aca="false">IF(COUNT(U4:AD4)=10,((U4-1)+(W4-1)+(Y4-1)+(AA4-1)+(AC4-1)+(5-V4)+(5-X4)+(5-Z4)+(5-AB4)+(5-AD4))*2.5,"")</f>
        <v>75</v>
      </c>
      <c r="AF4" s="6" t="s">
        <v>52</v>
      </c>
      <c r="AG4" s="6" t="s">
        <v>53</v>
      </c>
      <c r="AH4" s="6" t="s">
        <v>54</v>
      </c>
      <c r="AI4" s="6" t="s">
        <v>55</v>
      </c>
    </row>
    <row r="5" customFormat="false" ht="27.75" hidden="false" customHeight="true" outlineLevel="0" collapsed="false">
      <c r="A5" s="1" t="s">
        <v>56</v>
      </c>
      <c r="B5" s="3" t="n">
        <v>46308</v>
      </c>
      <c r="C5" s="4" t="s">
        <v>57</v>
      </c>
      <c r="D5" s="4" t="n">
        <v>7</v>
      </c>
      <c r="E5" s="1" t="s">
        <v>45</v>
      </c>
      <c r="F5" s="4" t="s">
        <v>38</v>
      </c>
      <c r="G5" s="4" t="s">
        <v>38</v>
      </c>
      <c r="H5" s="4" t="n">
        <v>4.5</v>
      </c>
      <c r="I5" s="4" t="s">
        <v>38</v>
      </c>
      <c r="J5" s="4" t="n">
        <v>7.2</v>
      </c>
      <c r="K5" s="4" t="s">
        <v>39</v>
      </c>
      <c r="L5" s="4" t="n">
        <v>31</v>
      </c>
      <c r="M5" s="4" t="s">
        <v>38</v>
      </c>
      <c r="N5" s="4" t="s">
        <v>39</v>
      </c>
      <c r="O5" s="5" t="n">
        <v>4</v>
      </c>
      <c r="P5" s="5" t="n">
        <v>1</v>
      </c>
      <c r="Q5" s="5" t="n">
        <v>2</v>
      </c>
      <c r="R5" s="5" t="n">
        <v>3</v>
      </c>
      <c r="S5" s="5" t="n">
        <v>3</v>
      </c>
      <c r="T5" s="5" t="n">
        <v>3</v>
      </c>
      <c r="U5" s="5" t="n">
        <v>5</v>
      </c>
      <c r="V5" s="5" t="n">
        <v>2</v>
      </c>
      <c r="W5" s="5" t="n">
        <v>3</v>
      </c>
      <c r="X5" s="5" t="n">
        <v>3</v>
      </c>
      <c r="Y5" s="5" t="n">
        <v>3</v>
      </c>
      <c r="Z5" s="5" t="n">
        <v>3</v>
      </c>
      <c r="AA5" s="5" t="n">
        <v>4</v>
      </c>
      <c r="AB5" s="5" t="n">
        <v>3</v>
      </c>
      <c r="AC5" s="5" t="n">
        <v>4</v>
      </c>
      <c r="AD5" s="5" t="n">
        <v>4</v>
      </c>
      <c r="AE5" s="1" t="n">
        <f aca="false">IF(COUNT(U5:AD5)=10,((U5-1)+(W5-1)+(Y5-1)+(AA5-1)+(AC5-1)+(5-V5)+(5-X5)+(5-Z5)+(5-AB5)+(5-AD5))*2.5,"")</f>
        <v>60</v>
      </c>
      <c r="AF5" s="6" t="s">
        <v>58</v>
      </c>
      <c r="AG5" s="6" t="s">
        <v>59</v>
      </c>
      <c r="AH5" s="6" t="s">
        <v>60</v>
      </c>
      <c r="AI5" s="6" t="s">
        <v>61</v>
      </c>
    </row>
    <row r="6" customFormat="false" ht="27.75" hidden="false" customHeight="true" outlineLevel="0" collapsed="false">
      <c r="A6" s="1" t="s">
        <v>62</v>
      </c>
      <c r="B6" s="3" t="n">
        <v>46309</v>
      </c>
      <c r="C6" s="4" t="s">
        <v>36</v>
      </c>
      <c r="D6" s="4" t="n">
        <v>8</v>
      </c>
      <c r="E6" s="1" t="s">
        <v>37</v>
      </c>
      <c r="F6" s="4" t="s">
        <v>38</v>
      </c>
      <c r="G6" s="4" t="s">
        <v>38</v>
      </c>
      <c r="H6" s="4" t="n">
        <v>4.4</v>
      </c>
      <c r="I6" s="4" t="s">
        <v>38</v>
      </c>
      <c r="J6" s="4" t="n">
        <v>6.8</v>
      </c>
      <c r="K6" s="4" t="s">
        <v>38</v>
      </c>
      <c r="L6" s="4" t="n">
        <v>18</v>
      </c>
      <c r="M6" s="4" t="s">
        <v>38</v>
      </c>
      <c r="N6" s="4" t="s">
        <v>38</v>
      </c>
      <c r="O6" s="5" t="n">
        <v>4</v>
      </c>
      <c r="P6" s="5" t="n">
        <v>2</v>
      </c>
      <c r="Q6" s="5" t="n">
        <v>4</v>
      </c>
      <c r="R6" s="5" t="n">
        <v>4</v>
      </c>
      <c r="S6" s="5" t="n">
        <v>4</v>
      </c>
      <c r="T6" s="5" t="n">
        <v>5</v>
      </c>
      <c r="U6" s="5" t="n">
        <v>5</v>
      </c>
      <c r="V6" s="5" t="n">
        <v>2</v>
      </c>
      <c r="W6" s="5" t="n">
        <v>3</v>
      </c>
      <c r="X6" s="5" t="n">
        <v>3</v>
      </c>
      <c r="Y6" s="5" t="n">
        <v>4</v>
      </c>
      <c r="Z6" s="5" t="n">
        <v>3</v>
      </c>
      <c r="AA6" s="5" t="n">
        <v>5</v>
      </c>
      <c r="AB6" s="5" t="n">
        <v>1</v>
      </c>
      <c r="AC6" s="5" t="n">
        <v>5</v>
      </c>
      <c r="AD6" s="5" t="n">
        <v>1</v>
      </c>
      <c r="AE6" s="1" t="n">
        <f aca="false">IF(COUNT(U6:AD6)=10,((U6-1)+(W6-1)+(Y6-1)+(AA6-1)+(AC6-1)+(5-V6)+(5-X6)+(5-Z6)+(5-AB6)+(5-AD6))*2.5,"")</f>
        <v>80</v>
      </c>
      <c r="AF6" s="6" t="s">
        <v>63</v>
      </c>
      <c r="AG6" s="6" t="s">
        <v>64</v>
      </c>
      <c r="AH6" s="6" t="s">
        <v>65</v>
      </c>
      <c r="AI6" s="6" t="s">
        <v>66</v>
      </c>
    </row>
    <row r="7" customFormat="false" ht="41.25" hidden="false" customHeight="true" outlineLevel="0" collapsed="false">
      <c r="A7" s="1" t="s">
        <v>67</v>
      </c>
      <c r="B7" s="3" t="n">
        <v>46309</v>
      </c>
      <c r="C7" s="4" t="s">
        <v>57</v>
      </c>
      <c r="D7" s="4" t="n">
        <v>7</v>
      </c>
      <c r="E7" s="1" t="s">
        <v>37</v>
      </c>
      <c r="F7" s="4" t="s">
        <v>38</v>
      </c>
      <c r="G7" s="4" t="s">
        <v>38</v>
      </c>
      <c r="H7" s="4" t="n">
        <v>3.9</v>
      </c>
      <c r="I7" s="4" t="s">
        <v>38</v>
      </c>
      <c r="J7" s="4" t="n">
        <v>8.2</v>
      </c>
      <c r="K7" s="4" t="s">
        <v>38</v>
      </c>
      <c r="L7" s="4" t="n">
        <v>17</v>
      </c>
      <c r="M7" s="4" t="s">
        <v>38</v>
      </c>
      <c r="N7" s="4" t="s">
        <v>38</v>
      </c>
      <c r="O7" s="5" t="n">
        <v>2</v>
      </c>
      <c r="P7" s="5" t="n">
        <v>3</v>
      </c>
      <c r="Q7" s="5" t="n">
        <v>3</v>
      </c>
      <c r="R7" s="5" t="n">
        <v>5</v>
      </c>
      <c r="S7" s="5" t="n">
        <v>4</v>
      </c>
      <c r="T7" s="5" t="n">
        <v>4</v>
      </c>
      <c r="U7" s="5" t="n">
        <v>4</v>
      </c>
      <c r="V7" s="5" t="n">
        <v>1</v>
      </c>
      <c r="W7" s="5" t="n">
        <v>5</v>
      </c>
      <c r="X7" s="5" t="n">
        <v>1</v>
      </c>
      <c r="Y7" s="5" t="n">
        <v>4</v>
      </c>
      <c r="Z7" s="5" t="n">
        <v>2</v>
      </c>
      <c r="AA7" s="5" t="n">
        <v>5</v>
      </c>
      <c r="AB7" s="5" t="n">
        <v>2</v>
      </c>
      <c r="AC7" s="5" t="n">
        <v>4</v>
      </c>
      <c r="AD7" s="5" t="n">
        <v>1</v>
      </c>
      <c r="AE7" s="1" t="n">
        <f aca="false">IF(COUNT(U7:AD7)=10,((U7-1)+(W7-1)+(Y7-1)+(AA7-1)+(AC7-1)+(5-V7)+(5-X7)+(5-Z7)+(5-AB7)+(5-AD7))*2.5,"")</f>
        <v>87.5</v>
      </c>
      <c r="AF7" s="6" t="s">
        <v>68</v>
      </c>
      <c r="AG7" s="6" t="s">
        <v>69</v>
      </c>
      <c r="AH7" s="6" t="s">
        <v>70</v>
      </c>
      <c r="AI7" s="6"/>
    </row>
    <row r="8" customFormat="false" ht="27.75" hidden="false" customHeight="true" outlineLevel="0" collapsed="false">
      <c r="A8" s="1" t="s">
        <v>71</v>
      </c>
      <c r="B8" s="3" t="n">
        <v>46309</v>
      </c>
      <c r="C8" s="4" t="s">
        <v>72</v>
      </c>
      <c r="D8" s="4" t="n">
        <v>7</v>
      </c>
      <c r="E8" s="1" t="s">
        <v>45</v>
      </c>
      <c r="F8" s="4" t="s">
        <v>38</v>
      </c>
      <c r="G8" s="4" t="s">
        <v>38</v>
      </c>
      <c r="H8" s="4" t="n">
        <v>2.6</v>
      </c>
      <c r="I8" s="4" t="s">
        <v>38</v>
      </c>
      <c r="J8" s="4" t="n">
        <v>7.1</v>
      </c>
      <c r="K8" s="4" t="s">
        <v>38</v>
      </c>
      <c r="L8" s="4" t="n">
        <v>16</v>
      </c>
      <c r="M8" s="4" t="s">
        <v>38</v>
      </c>
      <c r="N8" s="4" t="s">
        <v>38</v>
      </c>
      <c r="O8" s="5" t="n">
        <v>3</v>
      </c>
      <c r="P8" s="5" t="n">
        <v>5</v>
      </c>
      <c r="Q8" s="5" t="n">
        <v>2</v>
      </c>
      <c r="R8" s="5" t="n">
        <v>3</v>
      </c>
      <c r="S8" s="5" t="n">
        <v>4</v>
      </c>
      <c r="T8" s="5" t="n">
        <v>4</v>
      </c>
      <c r="U8" s="5" t="n">
        <v>4</v>
      </c>
      <c r="V8" s="5" t="n">
        <v>1</v>
      </c>
      <c r="W8" s="5" t="n">
        <v>3</v>
      </c>
      <c r="X8" s="5" t="n">
        <v>2</v>
      </c>
      <c r="Y8" s="5" t="n">
        <v>4</v>
      </c>
      <c r="Z8" s="5" t="n">
        <v>3</v>
      </c>
      <c r="AA8" s="5" t="n">
        <v>3</v>
      </c>
      <c r="AB8" s="5" t="n">
        <v>3</v>
      </c>
      <c r="AC8" s="5" t="n">
        <v>4</v>
      </c>
      <c r="AD8" s="5" t="n">
        <v>2</v>
      </c>
      <c r="AE8" s="1" t="n">
        <f aca="false">IF(COUNT(U8:AD8)=10,((U8-1)+(W8-1)+(Y8-1)+(AA8-1)+(AC8-1)+(5-V8)+(5-X8)+(5-Z8)+(5-AB8)+(5-AD8))*2.5,"")</f>
        <v>67.5</v>
      </c>
      <c r="AF8" s="6" t="s">
        <v>73</v>
      </c>
      <c r="AG8" s="6" t="s">
        <v>74</v>
      </c>
      <c r="AH8" s="6" t="s">
        <v>75</v>
      </c>
      <c r="AI8" s="6"/>
    </row>
    <row r="9" customFormat="false" ht="27.75" hidden="false" customHeight="true" outlineLevel="0" collapsed="false">
      <c r="A9" s="1" t="s">
        <v>76</v>
      </c>
      <c r="B9" s="3" t="n">
        <v>46309</v>
      </c>
      <c r="C9" s="4" t="s">
        <v>57</v>
      </c>
      <c r="D9" s="4" t="n">
        <v>6</v>
      </c>
      <c r="E9" s="1" t="s">
        <v>45</v>
      </c>
      <c r="F9" s="4" t="s">
        <v>38</v>
      </c>
      <c r="G9" s="4" t="s">
        <v>38</v>
      </c>
      <c r="H9" s="4" t="n">
        <v>3.1</v>
      </c>
      <c r="I9" s="4" t="s">
        <v>38</v>
      </c>
      <c r="J9" s="4" t="n">
        <v>8.1</v>
      </c>
      <c r="K9" s="4" t="s">
        <v>38</v>
      </c>
      <c r="L9" s="4" t="n">
        <v>15</v>
      </c>
      <c r="M9" s="4" t="s">
        <v>39</v>
      </c>
      <c r="N9" s="4" t="s">
        <v>38</v>
      </c>
      <c r="O9" s="5" t="n">
        <v>4</v>
      </c>
      <c r="P9" s="5" t="n">
        <v>3</v>
      </c>
      <c r="Q9" s="5" t="n">
        <v>3</v>
      </c>
      <c r="R9" s="5" t="n">
        <v>4</v>
      </c>
      <c r="S9" s="5" t="n">
        <v>5</v>
      </c>
      <c r="T9" s="5" t="n">
        <v>3</v>
      </c>
      <c r="U9" s="5" t="n">
        <v>4</v>
      </c>
      <c r="V9" s="5" t="n">
        <v>3</v>
      </c>
      <c r="W9" s="5" t="n">
        <v>4</v>
      </c>
      <c r="X9" s="5" t="n">
        <v>2</v>
      </c>
      <c r="Y9" s="5" t="n">
        <v>4</v>
      </c>
      <c r="Z9" s="5" t="n">
        <v>1</v>
      </c>
      <c r="AA9" s="5" t="n">
        <v>4</v>
      </c>
      <c r="AB9" s="5" t="n">
        <v>2</v>
      </c>
      <c r="AC9" s="5" t="n">
        <v>4</v>
      </c>
      <c r="AD9" s="5" t="n">
        <v>2</v>
      </c>
      <c r="AE9" s="1" t="n">
        <f aca="false">IF(COUNT(U9:AD9)=10,((U9-1)+(W9-1)+(Y9-1)+(AA9-1)+(AC9-1)+(5-V9)+(5-X9)+(5-Z9)+(5-AB9)+(5-AD9))*2.5,"")</f>
        <v>75</v>
      </c>
      <c r="AF9" s="6" t="s">
        <v>77</v>
      </c>
      <c r="AG9" s="6" t="s">
        <v>78</v>
      </c>
      <c r="AH9" s="6" t="s">
        <v>79</v>
      </c>
      <c r="AI9" s="6" t="s">
        <v>80</v>
      </c>
    </row>
    <row r="10" customFormat="false" ht="27.75" hidden="false" customHeight="true" outlineLevel="0" collapsed="false">
      <c r="A10" s="1" t="s">
        <v>81</v>
      </c>
      <c r="B10" s="3" t="n">
        <v>46310</v>
      </c>
      <c r="C10" s="4" t="s">
        <v>36</v>
      </c>
      <c r="D10" s="4" t="n">
        <v>9</v>
      </c>
      <c r="E10" s="1" t="s">
        <v>37</v>
      </c>
      <c r="F10" s="4" t="s">
        <v>38</v>
      </c>
      <c r="G10" s="4" t="s">
        <v>38</v>
      </c>
      <c r="H10" s="4" t="n">
        <v>1.9</v>
      </c>
      <c r="I10" s="4" t="s">
        <v>38</v>
      </c>
      <c r="J10" s="4" t="n">
        <v>8.1</v>
      </c>
      <c r="K10" s="4" t="s">
        <v>38</v>
      </c>
      <c r="L10" s="4" t="n">
        <v>22</v>
      </c>
      <c r="M10" s="4" t="s">
        <v>38</v>
      </c>
      <c r="N10" s="4" t="s">
        <v>38</v>
      </c>
      <c r="O10" s="5" t="n">
        <v>3</v>
      </c>
      <c r="P10" s="5" t="n">
        <v>2</v>
      </c>
      <c r="Q10" s="5" t="n">
        <v>1</v>
      </c>
      <c r="R10" s="5" t="n">
        <v>3</v>
      </c>
      <c r="S10" s="5" t="n">
        <v>4</v>
      </c>
      <c r="T10" s="5" t="n">
        <v>3</v>
      </c>
      <c r="U10" s="5" t="n">
        <v>5</v>
      </c>
      <c r="V10" s="5" t="n">
        <v>3</v>
      </c>
      <c r="W10" s="5" t="n">
        <v>4</v>
      </c>
      <c r="X10" s="5" t="n">
        <v>3</v>
      </c>
      <c r="Y10" s="5" t="n">
        <v>4</v>
      </c>
      <c r="Z10" s="5" t="n">
        <v>3</v>
      </c>
      <c r="AA10" s="5" t="n">
        <v>4</v>
      </c>
      <c r="AB10" s="5" t="n">
        <v>1</v>
      </c>
      <c r="AC10" s="5" t="n">
        <v>4</v>
      </c>
      <c r="AD10" s="5" t="n">
        <v>3</v>
      </c>
      <c r="AE10" s="1" t="n">
        <f aca="false">IF(COUNT(U10:AD10)=10,((U10-1)+(W10-1)+(Y10-1)+(AA10-1)+(AC10-1)+(5-V10)+(5-X10)+(5-Z10)+(5-AB10)+(5-AD10))*2.5,"")</f>
        <v>70</v>
      </c>
      <c r="AF10" s="6" t="s">
        <v>82</v>
      </c>
      <c r="AG10" s="6" t="s">
        <v>83</v>
      </c>
      <c r="AH10" s="6" t="s">
        <v>84</v>
      </c>
      <c r="AI10" s="6"/>
    </row>
    <row r="11" customFormat="false" ht="27.75" hidden="false" customHeight="true" outlineLevel="0" collapsed="false">
      <c r="A11" s="1" t="s">
        <v>85</v>
      </c>
      <c r="B11" s="3" t="n">
        <v>46310</v>
      </c>
      <c r="C11" s="4" t="s">
        <v>72</v>
      </c>
      <c r="D11" s="4" t="n">
        <v>5</v>
      </c>
      <c r="E11" s="1" t="s">
        <v>37</v>
      </c>
      <c r="F11" s="4" t="s">
        <v>38</v>
      </c>
      <c r="G11" s="4" t="s">
        <v>38</v>
      </c>
      <c r="H11" s="4" t="n">
        <v>2.8</v>
      </c>
      <c r="I11" s="4" t="s">
        <v>38</v>
      </c>
      <c r="J11" s="4" t="n">
        <v>8.5</v>
      </c>
      <c r="K11" s="4" t="s">
        <v>38</v>
      </c>
      <c r="L11" s="4" t="n">
        <v>29</v>
      </c>
      <c r="M11" s="4" t="s">
        <v>38</v>
      </c>
      <c r="N11" s="4" t="s">
        <v>39</v>
      </c>
      <c r="O11" s="5" t="n">
        <v>2</v>
      </c>
      <c r="P11" s="5" t="n">
        <v>2</v>
      </c>
      <c r="Q11" s="5" t="n">
        <v>3</v>
      </c>
      <c r="R11" s="5" t="n">
        <v>4</v>
      </c>
      <c r="S11" s="5" t="n">
        <v>4</v>
      </c>
      <c r="T11" s="5" t="n">
        <v>4</v>
      </c>
      <c r="U11" s="5" t="n">
        <v>4</v>
      </c>
      <c r="V11" s="5" t="n">
        <v>2</v>
      </c>
      <c r="W11" s="5" t="n">
        <v>4</v>
      </c>
      <c r="X11" s="5" t="n">
        <v>1</v>
      </c>
      <c r="Y11" s="5" t="n">
        <v>4</v>
      </c>
      <c r="Z11" s="5" t="n">
        <v>2</v>
      </c>
      <c r="AA11" s="5" t="n">
        <v>5</v>
      </c>
      <c r="AB11" s="5" t="n">
        <v>2</v>
      </c>
      <c r="AC11" s="5" t="n">
        <v>5</v>
      </c>
      <c r="AD11" s="5" t="n">
        <v>2</v>
      </c>
      <c r="AE11" s="1" t="n">
        <f aca="false">IF(COUNT(U11:AD11)=10,((U11-1)+(W11-1)+(Y11-1)+(AA11-1)+(AC11-1)+(5-V11)+(5-X11)+(5-Z11)+(5-AB11)+(5-AD11))*2.5,"")</f>
        <v>82.5</v>
      </c>
      <c r="AF11" s="6" t="s">
        <v>86</v>
      </c>
      <c r="AG11" s="6" t="s">
        <v>87</v>
      </c>
      <c r="AH11" s="6" t="s">
        <v>88</v>
      </c>
      <c r="AI11" s="6" t="s">
        <v>89</v>
      </c>
    </row>
    <row r="12" customFormat="false" ht="27.75" hidden="false" customHeight="true" outlineLevel="0" collapsed="false">
      <c r="A12" s="1" t="s">
        <v>90</v>
      </c>
      <c r="B12" s="3" t="n">
        <v>46310</v>
      </c>
      <c r="C12" s="4" t="s">
        <v>57</v>
      </c>
      <c r="D12" s="4" t="n">
        <v>8</v>
      </c>
      <c r="E12" s="1" t="s">
        <v>45</v>
      </c>
      <c r="F12" s="4" t="s">
        <v>38</v>
      </c>
      <c r="G12" s="4" t="s">
        <v>38</v>
      </c>
      <c r="H12" s="4" t="n">
        <v>2.6</v>
      </c>
      <c r="I12" s="4" t="s">
        <v>38</v>
      </c>
      <c r="J12" s="4" t="n">
        <v>8.4</v>
      </c>
      <c r="K12" s="4" t="s">
        <v>38</v>
      </c>
      <c r="L12" s="4" t="n">
        <v>25</v>
      </c>
      <c r="M12" s="4" t="s">
        <v>38</v>
      </c>
      <c r="N12" s="4" t="s">
        <v>39</v>
      </c>
      <c r="O12" s="5" t="n">
        <v>3</v>
      </c>
      <c r="P12" s="5" t="n">
        <v>2</v>
      </c>
      <c r="Q12" s="5" t="n">
        <v>2</v>
      </c>
      <c r="R12" s="5" t="n">
        <v>5</v>
      </c>
      <c r="S12" s="5" t="n">
        <v>4</v>
      </c>
      <c r="T12" s="5" t="n">
        <v>4</v>
      </c>
      <c r="U12" s="5" t="n">
        <v>4</v>
      </c>
      <c r="V12" s="5" t="n">
        <v>2</v>
      </c>
      <c r="W12" s="5" t="n">
        <v>4</v>
      </c>
      <c r="X12" s="5" t="n">
        <v>4</v>
      </c>
      <c r="Y12" s="5" t="n">
        <v>3</v>
      </c>
      <c r="Z12" s="5" t="n">
        <v>1</v>
      </c>
      <c r="AA12" s="5" t="n">
        <v>2</v>
      </c>
      <c r="AB12" s="5" t="n">
        <v>2</v>
      </c>
      <c r="AC12" s="5" t="n">
        <v>4</v>
      </c>
      <c r="AD12" s="5" t="n">
        <v>2</v>
      </c>
      <c r="AE12" s="1" t="n">
        <f aca="false">IF(COUNT(U12:AD12)=10,((U12-1)+(W12-1)+(Y12-1)+(AA12-1)+(AC12-1)+(5-V12)+(5-X12)+(5-Z12)+(5-AB12)+(5-AD12))*2.5,"")</f>
        <v>65</v>
      </c>
      <c r="AF12" s="6" t="s">
        <v>91</v>
      </c>
      <c r="AG12" s="6" t="s">
        <v>92</v>
      </c>
      <c r="AH12" s="6" t="s">
        <v>93</v>
      </c>
      <c r="AI12" s="6"/>
    </row>
    <row r="13" customFormat="false" ht="27.75" hidden="false" customHeight="true" outlineLevel="0" collapsed="false">
      <c r="A13" s="1" t="s">
        <v>94</v>
      </c>
      <c r="B13" s="3" t="n">
        <v>46310</v>
      </c>
      <c r="C13" s="4" t="s">
        <v>36</v>
      </c>
      <c r="D13" s="4" t="n">
        <v>9</v>
      </c>
      <c r="E13" s="1" t="s">
        <v>37</v>
      </c>
      <c r="F13" s="4" t="s">
        <v>38</v>
      </c>
      <c r="G13" s="4" t="s">
        <v>38</v>
      </c>
      <c r="H13" s="4" t="n">
        <v>2.8</v>
      </c>
      <c r="I13" s="4" t="s">
        <v>38</v>
      </c>
      <c r="J13" s="4" t="n">
        <v>6.3</v>
      </c>
      <c r="K13" s="4" t="s">
        <v>39</v>
      </c>
      <c r="L13" s="4" t="n">
        <v>44</v>
      </c>
      <c r="M13" s="4" t="s">
        <v>39</v>
      </c>
      <c r="N13" s="4" t="s">
        <v>39</v>
      </c>
      <c r="O13" s="5" t="n">
        <v>3</v>
      </c>
      <c r="P13" s="5" t="n">
        <v>2</v>
      </c>
      <c r="Q13" s="5" t="n">
        <v>2</v>
      </c>
      <c r="R13" s="5" t="n">
        <v>3</v>
      </c>
      <c r="S13" s="5" t="n">
        <v>4</v>
      </c>
      <c r="T13" s="5" t="n">
        <v>4</v>
      </c>
      <c r="U13" s="5" t="n">
        <v>2</v>
      </c>
      <c r="V13" s="5" t="n">
        <v>2</v>
      </c>
      <c r="W13" s="5" t="n">
        <v>4</v>
      </c>
      <c r="X13" s="5" t="n">
        <v>3</v>
      </c>
      <c r="Y13" s="5" t="n">
        <v>4</v>
      </c>
      <c r="Z13" s="5" t="n">
        <v>2</v>
      </c>
      <c r="AA13" s="5" t="n">
        <v>3</v>
      </c>
      <c r="AB13" s="5" t="n">
        <v>1</v>
      </c>
      <c r="AC13" s="5" t="n">
        <v>4</v>
      </c>
      <c r="AD13" s="5" t="n">
        <v>2</v>
      </c>
      <c r="AE13" s="1" t="n">
        <f aca="false">IF(COUNT(U13:AD13)=10,((U13-1)+(W13-1)+(Y13-1)+(AA13-1)+(AC13-1)+(5-V13)+(5-X13)+(5-Z13)+(5-AB13)+(5-AD13))*2.5,"")</f>
        <v>67.5</v>
      </c>
      <c r="AF13" s="6" t="s">
        <v>95</v>
      </c>
      <c r="AG13" s="6" t="s">
        <v>96</v>
      </c>
      <c r="AH13" s="6" t="s">
        <v>97</v>
      </c>
      <c r="AI13" s="6" t="s">
        <v>98</v>
      </c>
    </row>
    <row r="14" customFormat="false" ht="27.75" hidden="false" customHeight="true" outlineLevel="0" collapsed="false">
      <c r="A14" s="1" t="s">
        <v>99</v>
      </c>
      <c r="B14" s="3" t="n">
        <v>46311</v>
      </c>
      <c r="C14" s="4" t="s">
        <v>51</v>
      </c>
      <c r="D14" s="4" t="n">
        <v>5</v>
      </c>
      <c r="E14" s="1" t="s">
        <v>37</v>
      </c>
      <c r="F14" s="4" t="s">
        <v>38</v>
      </c>
      <c r="G14" s="4" t="s">
        <v>38</v>
      </c>
      <c r="H14" s="4" t="n">
        <v>4.8</v>
      </c>
      <c r="I14" s="4" t="s">
        <v>38</v>
      </c>
      <c r="J14" s="4" t="n">
        <v>7.9</v>
      </c>
      <c r="K14" s="4" t="s">
        <v>38</v>
      </c>
      <c r="L14" s="4" t="n">
        <v>20</v>
      </c>
      <c r="M14" s="4" t="s">
        <v>38</v>
      </c>
      <c r="N14" s="4" t="s">
        <v>38</v>
      </c>
      <c r="O14" s="5" t="n">
        <v>4</v>
      </c>
      <c r="P14" s="5" t="n">
        <v>3</v>
      </c>
      <c r="Q14" s="5" t="n">
        <v>4</v>
      </c>
      <c r="R14" s="5" t="n">
        <v>5</v>
      </c>
      <c r="S14" s="5" t="n">
        <v>3</v>
      </c>
      <c r="T14" s="5" t="n">
        <v>5</v>
      </c>
      <c r="U14" s="5" t="n">
        <v>5</v>
      </c>
      <c r="V14" s="5" t="n">
        <v>2</v>
      </c>
      <c r="W14" s="5" t="n">
        <v>3</v>
      </c>
      <c r="X14" s="5" t="n">
        <v>1</v>
      </c>
      <c r="Y14" s="5" t="n">
        <v>3</v>
      </c>
      <c r="Z14" s="5" t="n">
        <v>2</v>
      </c>
      <c r="AA14" s="5" t="n">
        <v>5</v>
      </c>
      <c r="AB14" s="5" t="n">
        <v>2</v>
      </c>
      <c r="AC14" s="5" t="n">
        <v>4</v>
      </c>
      <c r="AD14" s="5" t="n">
        <v>2</v>
      </c>
      <c r="AE14" s="1" t="n">
        <f aca="false">IF(COUNT(U14:AD14)=10,((U14-1)+(W14-1)+(Y14-1)+(AA14-1)+(AC14-1)+(5-V14)+(5-X14)+(5-Z14)+(5-AB14)+(5-AD14))*2.5,"")</f>
        <v>77.5</v>
      </c>
      <c r="AF14" s="6" t="s">
        <v>100</v>
      </c>
      <c r="AG14" s="6" t="s">
        <v>101</v>
      </c>
      <c r="AH14" s="6" t="s">
        <v>102</v>
      </c>
      <c r="AI14" s="6" t="s">
        <v>103</v>
      </c>
    </row>
    <row r="15" customFormat="false" ht="41.25" hidden="false" customHeight="true" outlineLevel="0" collapsed="false">
      <c r="A15" s="1" t="s">
        <v>104</v>
      </c>
      <c r="B15" s="3" t="n">
        <v>46311</v>
      </c>
      <c r="C15" s="4" t="s">
        <v>36</v>
      </c>
      <c r="D15" s="4" t="n">
        <v>7</v>
      </c>
      <c r="E15" s="1" t="s">
        <v>45</v>
      </c>
      <c r="F15" s="4" t="s">
        <v>38</v>
      </c>
      <c r="G15" s="4" t="s">
        <v>38</v>
      </c>
      <c r="H15" s="4" t="n">
        <v>4.2</v>
      </c>
      <c r="I15" s="4" t="s">
        <v>38</v>
      </c>
      <c r="J15" s="4" t="n">
        <v>6.1</v>
      </c>
      <c r="K15" s="4" t="s">
        <v>38</v>
      </c>
      <c r="L15" s="4" t="n">
        <v>21</v>
      </c>
      <c r="M15" s="4" t="s">
        <v>38</v>
      </c>
      <c r="N15" s="4" t="s">
        <v>38</v>
      </c>
      <c r="O15" s="5" t="n">
        <v>3</v>
      </c>
      <c r="P15" s="5" t="n">
        <v>2</v>
      </c>
      <c r="Q15" s="5" t="n">
        <v>5</v>
      </c>
      <c r="R15" s="5" t="n">
        <v>4</v>
      </c>
      <c r="S15" s="5" t="n">
        <v>4</v>
      </c>
      <c r="T15" s="5" t="n">
        <v>4</v>
      </c>
      <c r="U15" s="5" t="n">
        <v>3</v>
      </c>
      <c r="V15" s="5" t="n">
        <v>3</v>
      </c>
      <c r="W15" s="5" t="n">
        <v>5</v>
      </c>
      <c r="X15" s="5" t="n">
        <v>2</v>
      </c>
      <c r="Y15" s="5" t="n">
        <v>4</v>
      </c>
      <c r="Z15" s="5" t="n">
        <v>2</v>
      </c>
      <c r="AA15" s="5" t="n">
        <v>4</v>
      </c>
      <c r="AB15" s="5" t="n">
        <v>2</v>
      </c>
      <c r="AC15" s="5" t="n">
        <v>3</v>
      </c>
      <c r="AD15" s="5" t="n">
        <v>2</v>
      </c>
      <c r="AE15" s="1" t="n">
        <f aca="false">IF(COUNT(U15:AD15)=10,((U15-1)+(W15-1)+(Y15-1)+(AA15-1)+(AC15-1)+(5-V15)+(5-X15)+(5-Z15)+(5-AB15)+(5-AD15))*2.5,"")</f>
        <v>70</v>
      </c>
      <c r="AF15" s="6" t="s">
        <v>105</v>
      </c>
      <c r="AG15" s="6" t="s">
        <v>106</v>
      </c>
      <c r="AH15" s="6" t="s">
        <v>107</v>
      </c>
      <c r="AI15" s="6"/>
    </row>
    <row r="16" customFormat="false" ht="27.75" hidden="false" customHeight="true" outlineLevel="0" collapsed="false">
      <c r="A16" s="1" t="s">
        <v>108</v>
      </c>
      <c r="B16" s="3" t="n">
        <v>46311</v>
      </c>
      <c r="C16" s="4" t="s">
        <v>36</v>
      </c>
      <c r="D16" s="4" t="n">
        <v>8</v>
      </c>
      <c r="E16" s="1" t="s">
        <v>45</v>
      </c>
      <c r="F16" s="4" t="s">
        <v>39</v>
      </c>
      <c r="G16" s="4" t="s">
        <v>39</v>
      </c>
      <c r="H16" s="4" t="n">
        <v>6</v>
      </c>
      <c r="I16" s="4" t="s">
        <v>39</v>
      </c>
      <c r="J16" s="4"/>
      <c r="K16" s="4" t="s">
        <v>38</v>
      </c>
      <c r="L16" s="4" t="n">
        <v>18</v>
      </c>
      <c r="M16" s="4" t="s">
        <v>38</v>
      </c>
      <c r="N16" s="4" t="s">
        <v>39</v>
      </c>
      <c r="O16" s="5" t="n">
        <v>4</v>
      </c>
      <c r="P16" s="5" t="n">
        <v>1</v>
      </c>
      <c r="Q16" s="5" t="n">
        <v>3</v>
      </c>
      <c r="R16" s="5" t="n">
        <v>4</v>
      </c>
      <c r="S16" s="5" t="n">
        <v>2</v>
      </c>
      <c r="T16" s="5" t="n">
        <v>3</v>
      </c>
      <c r="U16" s="5" t="n">
        <v>3</v>
      </c>
      <c r="V16" s="5" t="n">
        <v>3</v>
      </c>
      <c r="W16" s="5" t="n">
        <v>3</v>
      </c>
      <c r="X16" s="5" t="n">
        <v>3</v>
      </c>
      <c r="Y16" s="5" t="n">
        <v>4</v>
      </c>
      <c r="Z16" s="5" t="n">
        <v>2</v>
      </c>
      <c r="AA16" s="5" t="n">
        <v>3</v>
      </c>
      <c r="AB16" s="5" t="n">
        <v>4</v>
      </c>
      <c r="AC16" s="5" t="n">
        <v>3</v>
      </c>
      <c r="AD16" s="5" t="n">
        <v>3</v>
      </c>
      <c r="AE16" s="1" t="n">
        <f aca="false">IF(COUNT(U16:AD16)=10,((U16-1)+(W16-1)+(Y16-1)+(AA16-1)+(AC16-1)+(5-V16)+(5-X16)+(5-Z16)+(5-AB16)+(5-AD16))*2.5,"")</f>
        <v>52.5</v>
      </c>
      <c r="AF16" s="6" t="s">
        <v>109</v>
      </c>
      <c r="AG16" s="6" t="s">
        <v>110</v>
      </c>
      <c r="AH16" s="6" t="s">
        <v>111</v>
      </c>
      <c r="AI16" s="6" t="s">
        <v>112</v>
      </c>
    </row>
    <row r="17" customFormat="false" ht="27.75" hidden="false" customHeight="true" outlineLevel="0" collapsed="false">
      <c r="A17" s="1" t="s">
        <v>113</v>
      </c>
      <c r="B17" s="3" t="n">
        <v>46311</v>
      </c>
      <c r="C17" s="4" t="s">
        <v>72</v>
      </c>
      <c r="D17" s="4" t="n">
        <v>6</v>
      </c>
      <c r="E17" s="1" t="s">
        <v>45</v>
      </c>
      <c r="F17" s="4" t="s">
        <v>38</v>
      </c>
      <c r="G17" s="4" t="s">
        <v>38</v>
      </c>
      <c r="H17" s="4" t="n">
        <v>3.9</v>
      </c>
      <c r="I17" s="4" t="s">
        <v>38</v>
      </c>
      <c r="J17" s="4" t="n">
        <v>6.8</v>
      </c>
      <c r="K17" s="4" t="s">
        <v>38</v>
      </c>
      <c r="L17" s="4" t="n">
        <v>29</v>
      </c>
      <c r="M17" s="4" t="s">
        <v>38</v>
      </c>
      <c r="N17" s="4" t="s">
        <v>38</v>
      </c>
      <c r="O17" s="5" t="n">
        <v>3</v>
      </c>
      <c r="P17" s="5" t="n">
        <v>4</v>
      </c>
      <c r="Q17" s="5" t="n">
        <v>3</v>
      </c>
      <c r="R17" s="5" t="n">
        <v>3</v>
      </c>
      <c r="S17" s="5" t="n">
        <v>4</v>
      </c>
      <c r="T17" s="5" t="n">
        <v>5</v>
      </c>
      <c r="U17" s="5" t="n">
        <v>4</v>
      </c>
      <c r="V17" s="5" t="n">
        <v>2</v>
      </c>
      <c r="W17" s="5" t="n">
        <v>4</v>
      </c>
      <c r="X17" s="5" t="n">
        <v>2</v>
      </c>
      <c r="Y17" s="5" t="n">
        <v>4</v>
      </c>
      <c r="Z17" s="5" t="n">
        <v>2</v>
      </c>
      <c r="AA17" s="5" t="n">
        <v>4</v>
      </c>
      <c r="AB17" s="5" t="n">
        <v>2</v>
      </c>
      <c r="AC17" s="5" t="n">
        <v>4</v>
      </c>
      <c r="AD17" s="5" t="n">
        <v>1</v>
      </c>
      <c r="AE17" s="1" t="n">
        <f aca="false">IF(COUNT(U17:AD17)=10,((U17-1)+(W17-1)+(Y17-1)+(AA17-1)+(AC17-1)+(5-V17)+(5-X17)+(5-Z17)+(5-AB17)+(5-AD17))*2.5,"")</f>
        <v>77.5</v>
      </c>
      <c r="AF17" s="6" t="s">
        <v>114</v>
      </c>
      <c r="AG17" s="6" t="s">
        <v>115</v>
      </c>
      <c r="AH17" s="6" t="s">
        <v>116</v>
      </c>
      <c r="AI17" s="6"/>
    </row>
    <row r="18" customFormat="false" ht="27.75" hidden="false" customHeight="true" outlineLevel="0" collapsed="false">
      <c r="A18" s="1" t="s">
        <v>117</v>
      </c>
      <c r="B18" s="3" t="n">
        <v>46312</v>
      </c>
      <c r="C18" s="4" t="s">
        <v>36</v>
      </c>
      <c r="D18" s="4" t="n">
        <v>5</v>
      </c>
      <c r="E18" s="1" t="s">
        <v>45</v>
      </c>
      <c r="F18" s="4" t="s">
        <v>38</v>
      </c>
      <c r="G18" s="4" t="s">
        <v>38</v>
      </c>
      <c r="H18" s="4" t="n">
        <v>4</v>
      </c>
      <c r="I18" s="4" t="s">
        <v>38</v>
      </c>
      <c r="J18" s="4" t="n">
        <v>5.6</v>
      </c>
      <c r="K18" s="4" t="s">
        <v>38</v>
      </c>
      <c r="L18" s="4" t="n">
        <v>26</v>
      </c>
      <c r="M18" s="4" t="s">
        <v>38</v>
      </c>
      <c r="N18" s="4" t="s">
        <v>38</v>
      </c>
      <c r="O18" s="5" t="n">
        <v>3</v>
      </c>
      <c r="P18" s="5" t="n">
        <v>3</v>
      </c>
      <c r="Q18" s="5" t="n">
        <v>4</v>
      </c>
      <c r="R18" s="5" t="n">
        <v>4</v>
      </c>
      <c r="S18" s="5" t="n">
        <v>3</v>
      </c>
      <c r="T18" s="5" t="n">
        <v>4</v>
      </c>
      <c r="U18" s="5" t="n">
        <v>3</v>
      </c>
      <c r="V18" s="5" t="n">
        <v>2</v>
      </c>
      <c r="W18" s="5" t="n">
        <v>5</v>
      </c>
      <c r="X18" s="5" t="n">
        <v>3</v>
      </c>
      <c r="Y18" s="5" t="n">
        <v>3</v>
      </c>
      <c r="Z18" s="5" t="n">
        <v>2</v>
      </c>
      <c r="AA18" s="5" t="n">
        <v>4</v>
      </c>
      <c r="AB18" s="5" t="n">
        <v>3</v>
      </c>
      <c r="AC18" s="5" t="n">
        <v>3</v>
      </c>
      <c r="AD18" s="5" t="n">
        <v>2</v>
      </c>
      <c r="AE18" s="1" t="n">
        <f aca="false">IF(COUNT(U18:AD18)=10,((U18-1)+(W18-1)+(Y18-1)+(AA18-1)+(AC18-1)+(5-V18)+(5-X18)+(5-Z18)+(5-AB18)+(5-AD18))*2.5,"")</f>
        <v>65</v>
      </c>
      <c r="AF18" s="6" t="s">
        <v>118</v>
      </c>
      <c r="AG18" s="6" t="s">
        <v>119</v>
      </c>
      <c r="AH18" s="6" t="s">
        <v>120</v>
      </c>
      <c r="AI18" s="6"/>
    </row>
    <row r="19" customFormat="false" ht="27.75" hidden="false" customHeight="true" outlineLevel="0" collapsed="false">
      <c r="A19" s="1" t="s">
        <v>121</v>
      </c>
      <c r="B19" s="3" t="n">
        <v>46312</v>
      </c>
      <c r="C19" s="4" t="s">
        <v>72</v>
      </c>
      <c r="D19" s="4" t="n">
        <v>7</v>
      </c>
      <c r="E19" s="1" t="s">
        <v>37</v>
      </c>
      <c r="F19" s="4" t="s">
        <v>38</v>
      </c>
      <c r="G19" s="4" t="s">
        <v>38</v>
      </c>
      <c r="H19" s="4" t="n">
        <v>3.9</v>
      </c>
      <c r="I19" s="4" t="s">
        <v>38</v>
      </c>
      <c r="J19" s="4" t="n">
        <v>5.9</v>
      </c>
      <c r="K19" s="4" t="s">
        <v>38</v>
      </c>
      <c r="L19" s="4" t="n">
        <v>12</v>
      </c>
      <c r="M19" s="4" t="s">
        <v>39</v>
      </c>
      <c r="N19" s="4" t="s">
        <v>39</v>
      </c>
      <c r="O19" s="5" t="n">
        <v>3</v>
      </c>
      <c r="P19" s="5" t="n">
        <v>2</v>
      </c>
      <c r="Q19" s="5" t="n">
        <v>2</v>
      </c>
      <c r="R19" s="5" t="n">
        <v>5</v>
      </c>
      <c r="S19" s="5" t="n">
        <v>3</v>
      </c>
      <c r="T19" s="5" t="n">
        <v>2</v>
      </c>
      <c r="U19" s="5" t="n">
        <v>4</v>
      </c>
      <c r="V19" s="5" t="n">
        <v>2</v>
      </c>
      <c r="W19" s="5" t="n">
        <v>4</v>
      </c>
      <c r="X19" s="5" t="n">
        <v>2</v>
      </c>
      <c r="Y19" s="5" t="n">
        <v>4</v>
      </c>
      <c r="Z19" s="5" t="n">
        <v>2</v>
      </c>
      <c r="AA19" s="5" t="n">
        <v>3</v>
      </c>
      <c r="AB19" s="5" t="n">
        <v>2</v>
      </c>
      <c r="AC19" s="5" t="n">
        <v>4</v>
      </c>
      <c r="AD19" s="5" t="n">
        <v>2</v>
      </c>
      <c r="AE19" s="1" t="n">
        <f aca="false">IF(COUNT(U19:AD19)=10,((U19-1)+(W19-1)+(Y19-1)+(AA19-1)+(AC19-1)+(5-V19)+(5-X19)+(5-Z19)+(5-AB19)+(5-AD19))*2.5,"")</f>
        <v>72.5</v>
      </c>
      <c r="AF19" s="6" t="s">
        <v>122</v>
      </c>
      <c r="AG19" s="6" t="s">
        <v>123</v>
      </c>
      <c r="AH19" s="6" t="s">
        <v>124</v>
      </c>
      <c r="AI19" s="6" t="s">
        <v>125</v>
      </c>
    </row>
    <row r="20" customFormat="false" ht="27.75" hidden="false" customHeight="true" outlineLevel="0" collapsed="false">
      <c r="A20" s="1" t="s">
        <v>126</v>
      </c>
      <c r="B20" s="3" t="n">
        <v>46312</v>
      </c>
      <c r="C20" s="4" t="s">
        <v>51</v>
      </c>
      <c r="D20" s="4" t="n">
        <v>7</v>
      </c>
      <c r="E20" s="1" t="s">
        <v>45</v>
      </c>
      <c r="F20" s="4" t="s">
        <v>38</v>
      </c>
      <c r="G20" s="4" t="s">
        <v>38</v>
      </c>
      <c r="H20" s="4" t="n">
        <v>3.2</v>
      </c>
      <c r="I20" s="4" t="s">
        <v>38</v>
      </c>
      <c r="J20" s="4" t="n">
        <v>8</v>
      </c>
      <c r="K20" s="4" t="s">
        <v>38</v>
      </c>
      <c r="L20" s="4" t="n">
        <v>25</v>
      </c>
      <c r="M20" s="4" t="s">
        <v>38</v>
      </c>
      <c r="N20" s="4" t="s">
        <v>38</v>
      </c>
      <c r="O20" s="5" t="n">
        <v>3</v>
      </c>
      <c r="P20" s="5" t="n">
        <v>4</v>
      </c>
      <c r="Q20" s="5" t="n">
        <v>4</v>
      </c>
      <c r="R20" s="5" t="n">
        <v>4</v>
      </c>
      <c r="S20" s="5" t="n">
        <v>3</v>
      </c>
      <c r="T20" s="5" t="n">
        <v>3</v>
      </c>
      <c r="U20" s="5" t="n">
        <v>4</v>
      </c>
      <c r="V20" s="5" t="n">
        <v>2</v>
      </c>
      <c r="W20" s="5" t="n">
        <v>4</v>
      </c>
      <c r="X20" s="5" t="n">
        <v>2</v>
      </c>
      <c r="Y20" s="5" t="n">
        <v>4</v>
      </c>
      <c r="Z20" s="5" t="n">
        <v>3</v>
      </c>
      <c r="AA20" s="5" t="n">
        <v>4</v>
      </c>
      <c r="AB20" s="5" t="n">
        <v>2</v>
      </c>
      <c r="AC20" s="5" t="n">
        <v>4</v>
      </c>
      <c r="AD20" s="5" t="n">
        <v>2</v>
      </c>
      <c r="AE20" s="1" t="n">
        <f aca="false">IF(COUNT(U20:AD20)=10,((U20-1)+(W20-1)+(Y20-1)+(AA20-1)+(AC20-1)+(5-V20)+(5-X20)+(5-Z20)+(5-AB20)+(5-AD20))*2.5,"")</f>
        <v>72.5</v>
      </c>
      <c r="AF20" s="6" t="s">
        <v>127</v>
      </c>
      <c r="AG20" s="6" t="s">
        <v>128</v>
      </c>
      <c r="AH20" s="6" t="s">
        <v>129</v>
      </c>
      <c r="AI20" s="6"/>
    </row>
    <row r="21" customFormat="false" ht="15.75" hidden="false" customHeight="true" outlineLevel="0" collapsed="false">
      <c r="A21" s="1" t="s">
        <v>130</v>
      </c>
      <c r="B21" s="3" t="n">
        <v>46312</v>
      </c>
      <c r="C21" s="4" t="s">
        <v>36</v>
      </c>
      <c r="D21" s="4" t="n">
        <v>7</v>
      </c>
      <c r="E21" s="1" t="s">
        <v>37</v>
      </c>
      <c r="F21" s="4" t="s">
        <v>38</v>
      </c>
      <c r="G21" s="4" t="s">
        <v>38</v>
      </c>
      <c r="H21" s="4" t="n">
        <v>3.8</v>
      </c>
      <c r="I21" s="4" t="s">
        <v>38</v>
      </c>
      <c r="J21" s="4" t="n">
        <v>5.1</v>
      </c>
      <c r="K21" s="4" t="s">
        <v>38</v>
      </c>
      <c r="L21" s="4" t="n">
        <v>24</v>
      </c>
      <c r="M21" s="4" t="s">
        <v>38</v>
      </c>
      <c r="N21" s="4" t="s">
        <v>38</v>
      </c>
      <c r="O21" s="5" t="n">
        <v>4</v>
      </c>
      <c r="P21" s="5" t="n">
        <v>3</v>
      </c>
      <c r="Q21" s="5" t="n">
        <v>2</v>
      </c>
      <c r="R21" s="5" t="n">
        <v>5</v>
      </c>
      <c r="S21" s="5" t="n">
        <v>3</v>
      </c>
      <c r="T21" s="5" t="n">
        <v>4</v>
      </c>
      <c r="U21" s="5" t="n">
        <v>5</v>
      </c>
      <c r="V21" s="5" t="n">
        <v>3</v>
      </c>
      <c r="W21" s="5" t="n">
        <v>5</v>
      </c>
      <c r="X21" s="5" t="n">
        <v>3</v>
      </c>
      <c r="Y21" s="5" t="n">
        <v>5</v>
      </c>
      <c r="Z21" s="5" t="n">
        <v>1</v>
      </c>
      <c r="AA21" s="5" t="n">
        <v>5</v>
      </c>
      <c r="AB21" s="5" t="n">
        <v>3</v>
      </c>
      <c r="AC21" s="5" t="n">
        <v>4</v>
      </c>
      <c r="AD21" s="5" t="n">
        <v>2</v>
      </c>
      <c r="AE21" s="1" t="n">
        <f aca="false">IF(COUNT(U21:AD21)=10,((U21-1)+(W21-1)+(Y21-1)+(AA21-1)+(AC21-1)+(5-V21)+(5-X21)+(5-Z21)+(5-AB21)+(5-AD21))*2.5,"")</f>
        <v>80</v>
      </c>
      <c r="AF21" s="6" t="s">
        <v>131</v>
      </c>
      <c r="AG21" s="6" t="s">
        <v>132</v>
      </c>
      <c r="AH21" s="6" t="s">
        <v>133</v>
      </c>
      <c r="AI21" s="6" t="s">
        <v>134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2">
    <dataValidation allowBlank="true" errorStyle="stop" operator="between" showDropDown="false" showErrorMessage="false" showInputMessage="false" sqref="O2:AD21" type="decimal">
      <formula1>1</formula1>
      <formula2>5</formula2>
    </dataValidation>
    <dataValidation allowBlank="true" errorStyle="stop" operator="between" showDropDown="false" showErrorMessage="false" showInputMessage="false" sqref="F2:G21 I2:I21 K2:K21 M2:N21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26" min="4" style="1" width="8.71"/>
  </cols>
  <sheetData>
    <row r="1" customFormat="false" ht="15" hidden="false" customHeight="true" outlineLevel="0" collapsed="false">
      <c r="A1" s="7" t="s">
        <v>135</v>
      </c>
      <c r="B1" s="7" t="s">
        <v>136</v>
      </c>
      <c r="C1" s="7" t="s">
        <v>137</v>
      </c>
    </row>
    <row r="2" customFormat="false" ht="15" hidden="false" customHeight="true" outlineLevel="0" collapsed="false">
      <c r="A2" s="1" t="s">
        <v>138</v>
      </c>
      <c r="B2" s="1" t="n">
        <f aca="false">COUNTA(Peserta!F2:F21)</f>
        <v>20</v>
      </c>
      <c r="C2" s="1" t="s">
        <v>139</v>
      </c>
    </row>
    <row r="3" customFormat="false" ht="15" hidden="false" customHeight="true" outlineLevel="0" collapsed="false">
      <c r="A3" s="1" t="s">
        <v>140</v>
      </c>
      <c r="B3" s="8" t="n">
        <f aca="false">IFERROR(COUNTIF(Peserta!F2:F21,"ya")/COUNTA(Peserta!F2:F21),"")</f>
        <v>0.95</v>
      </c>
      <c r="C3" s="1" t="s">
        <v>141</v>
      </c>
    </row>
    <row r="4" customFormat="false" ht="15" hidden="false" customHeight="true" outlineLevel="0" collapsed="false">
      <c r="A4" s="1" t="s">
        <v>142</v>
      </c>
      <c r="B4" s="8" t="n">
        <f aca="false">IFERROR(COUNTIF(Peserta!G2:G21,"ya")/COUNTA(Peserta!G2:G21),"")</f>
        <v>0.9</v>
      </c>
      <c r="C4" s="1" t="s">
        <v>141</v>
      </c>
    </row>
    <row r="5" customFormat="false" ht="15" hidden="false" customHeight="true" outlineLevel="0" collapsed="false">
      <c r="A5" s="1" t="s">
        <v>143</v>
      </c>
      <c r="B5" s="8" t="n">
        <f aca="false">IFERROR(COUNTIF(Peserta!I2:I21,"ya")/COUNTA(Peserta!I2:I21),"")</f>
        <v>0.8</v>
      </c>
      <c r="C5" s="1" t="s">
        <v>144</v>
      </c>
    </row>
    <row r="6" customFormat="false" ht="15" hidden="false" customHeight="true" outlineLevel="0" collapsed="false">
      <c r="A6" s="1" t="s">
        <v>145</v>
      </c>
      <c r="B6" s="8" t="n">
        <f aca="false">IFERROR(COUNTIF(Peserta!K2:K21,"ya")/COUNTA(Peserta!K2:K21),"")</f>
        <v>0.9</v>
      </c>
      <c r="C6" s="1" t="s">
        <v>141</v>
      </c>
    </row>
    <row r="7" customFormat="false" ht="15" hidden="false" customHeight="true" outlineLevel="0" collapsed="false">
      <c r="A7" s="1" t="s">
        <v>146</v>
      </c>
      <c r="B7" s="8" t="n">
        <f aca="false">IFERROR(COUNTIF(Peserta!M2:M21,"ya")/COUNTA(Peserta!M2:M21),"")</f>
        <v>0.75</v>
      </c>
      <c r="C7" s="1" t="s">
        <v>141</v>
      </c>
    </row>
    <row r="8" customFormat="false" ht="15" hidden="false" customHeight="true" outlineLevel="0" collapsed="false">
      <c r="A8" s="1" t="s">
        <v>147</v>
      </c>
      <c r="B8" s="8" t="n">
        <f aca="false">IFERROR(COUNTIF(Peserta!N2:N21,"ya")/COUNTA(Peserta!N2:N21),"")</f>
        <v>0.6</v>
      </c>
      <c r="C8" s="1" t="s">
        <v>141</v>
      </c>
    </row>
    <row r="9" customFormat="false" ht="15" hidden="false" customHeight="true" outlineLevel="0" collapsed="false">
      <c r="A9" s="1" t="s">
        <v>148</v>
      </c>
      <c r="B9" s="1" t="n">
        <f aca="false">IFERROR(MEDIAN(Peserta!H2:H21),"")</f>
        <v>3.9</v>
      </c>
      <c r="C9" s="1" t="s">
        <v>149</v>
      </c>
    </row>
    <row r="10" customFormat="false" ht="15" hidden="false" customHeight="true" outlineLevel="0" collapsed="false">
      <c r="A10" s="1" t="s">
        <v>150</v>
      </c>
      <c r="B10" s="1" t="n">
        <f aca="false">IFERROR(MEDIAN(Peserta!J2:J21),"")</f>
        <v>6.95</v>
      </c>
    </row>
    <row r="11" customFormat="false" ht="15" hidden="false" customHeight="true" outlineLevel="0" collapsed="false">
      <c r="A11" s="1" t="s">
        <v>151</v>
      </c>
      <c r="B11" s="1" t="n">
        <f aca="false">IFERROR(MEDIAN(Peserta!L2:L21),"")</f>
        <v>21.5</v>
      </c>
      <c r="C11" s="1" t="s">
        <v>152</v>
      </c>
    </row>
    <row r="12" customFormat="false" ht="15" hidden="false" customHeight="true" outlineLevel="0" collapsed="false">
      <c r="A12" s="1" t="s">
        <v>153</v>
      </c>
      <c r="B12" s="1" t="n">
        <f aca="false">IFERROR(AVERAGE(Peserta!O2:O21),"")</f>
        <v>3.15</v>
      </c>
    </row>
    <row r="13" customFormat="false" ht="15" hidden="false" customHeight="true" outlineLevel="0" collapsed="false">
      <c r="A13" s="1" t="s">
        <v>154</v>
      </c>
      <c r="B13" s="1" t="n">
        <f aca="false">IFERROR(AVERAGE(Peserta!R2:R21),"")</f>
        <v>3.75</v>
      </c>
      <c r="C13" s="1" t="s">
        <v>155</v>
      </c>
    </row>
    <row r="14" customFormat="false" ht="15" hidden="false" customHeight="true" outlineLevel="0" collapsed="false">
      <c r="A14" s="1" t="s">
        <v>156</v>
      </c>
      <c r="B14" s="1" t="n">
        <f aca="false">IFERROR(AVERAGE(Peserta!P2:P21),"")</f>
        <v>2.45</v>
      </c>
    </row>
    <row r="15" customFormat="false" ht="15" hidden="false" customHeight="true" outlineLevel="0" collapsed="false">
      <c r="A15" s="1" t="s">
        <v>157</v>
      </c>
      <c r="B15" s="1" t="n">
        <f aca="false">IFERROR(AVERAGE(Peserta!S2:S21),"")</f>
        <v>3.6</v>
      </c>
    </row>
    <row r="16" customFormat="false" ht="15" hidden="false" customHeight="true" outlineLevel="0" collapsed="false">
      <c r="A16" s="1" t="s">
        <v>158</v>
      </c>
      <c r="B16" s="1" t="n">
        <f aca="false">IFERROR(AVERAGE(Peserta!Q2:Q21),"")</f>
        <v>3</v>
      </c>
    </row>
    <row r="17" customFormat="false" ht="15" hidden="false" customHeight="true" outlineLevel="0" collapsed="false">
      <c r="A17" s="1" t="s">
        <v>159</v>
      </c>
      <c r="B17" s="1" t="n">
        <f aca="false">IFERROR(AVERAGE(Peserta!T2:T21),"")</f>
        <v>3.75</v>
      </c>
    </row>
    <row r="18" customFormat="false" ht="15" hidden="false" customHeight="true" outlineLevel="0" collapsed="false">
      <c r="A18" s="1" t="s">
        <v>160</v>
      </c>
      <c r="B18" s="1" t="n">
        <f aca="false">IFERROR(AVERAGE(Peserta!AE2:AE21),"")</f>
        <v>71.125</v>
      </c>
      <c r="C18" s="1" t="s">
        <v>161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2026-10-17T18:52:20Z</dcterms:created>
  <dc:creator>openpyxl</dc:creator>
  <dc:description/>
  <dc:language>en-US</dc:language>
  <cp:lastModifiedBy/>
  <dcterms:modified xsi:type="dcterms:W3CDTF">2026-10-17T18:53:36Z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
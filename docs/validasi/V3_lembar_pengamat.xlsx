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ser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Lembar pengamat pilot PathSync (V3). Satu baris per peserta. Isi kolom kuning.</t>
        </is>
      </c>
    </row>
    <row r="2">
      <c r="A2" t="inlineStr">
        <is>
          <t>Urutan: peserta ganjil melihat saran umum dulu, genap PathSync dulu (sudah terisi).</t>
        </is>
      </c>
    </row>
    <row r="3">
      <c r="A3" t="inlineStr">
        <is>
          <t>T1-T5 dan T5a/T5b: pilih ya atau tidak. Waktu dalam menit (T2, T3) dan detik (T4).</t>
        </is>
      </c>
    </row>
    <row r="4">
      <c r="A4" t="inlineStr">
        <is>
          <t>Q1-Q3: skala 1-5 untuk saran umum (U) dan PathSync (P). SUS1-SUS10: skala 1-5. Skor SUS dihitung otomatis.</t>
        </is>
      </c>
    </row>
    <row r="5">
      <c r="A5" t="inlineStr">
        <is>
          <t>Jangan tulis nama peserta. Panduan lengkap: docs/validasi/V3_PILOT.md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9" customWidth="1" min="4" max="4"/>
    <col width="17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36" customWidth="1" min="33" max="33"/>
    <col width="36" customWidth="1" min="34" max="34"/>
    <col width="36" customWidth="1" min="35" max="35"/>
    <col width="36" customWidth="1" min="36" max="36"/>
  </cols>
  <sheetData>
    <row r="1">
      <c r="A1" s="2" t="inlineStr">
        <is>
          <t>kode</t>
        </is>
      </c>
      <c r="B1" s="2" t="inlineStr">
        <is>
          <t>tanggal</t>
        </is>
      </c>
      <c r="C1" s="2" t="inlineStr">
        <is>
          <t>prodi</t>
        </is>
      </c>
      <c r="D1" s="2" t="inlineStr">
        <is>
          <t>semester</t>
        </is>
      </c>
      <c r="E1" s="2" t="inlineStr">
        <is>
          <t>urutan</t>
        </is>
      </c>
      <c r="F1" s="2" t="inlineStr">
        <is>
          <t>bahasa UI</t>
        </is>
      </c>
      <c r="G1" s="2" t="inlineStr">
        <is>
          <t>T1 paham tujuan</t>
        </is>
      </c>
      <c r="H1" s="2" t="inlineStr">
        <is>
          <t>T2 sampai langkah pertama</t>
        </is>
      </c>
      <c r="I1" s="2" t="inlineStr">
        <is>
          <t>T2 menit</t>
        </is>
      </c>
      <c r="J1" s="2" t="inlineStr">
        <is>
          <t>T3 Quick Check selesai</t>
        </is>
      </c>
      <c r="K1" s="2" t="inlineStr">
        <is>
          <t>T3 menit</t>
        </is>
      </c>
      <c r="L1" s="2" t="inlineStr">
        <is>
          <t>T4 jawab benar</t>
        </is>
      </c>
      <c r="M1" s="2" t="inlineStr">
        <is>
          <t>T4 detik</t>
        </is>
      </c>
      <c r="N1" s="2" t="inlineStr">
        <is>
          <t>T5a Bottleneck</t>
        </is>
      </c>
      <c r="O1" s="2" t="inlineStr">
        <is>
          <t>T5b Prove It</t>
        </is>
      </c>
      <c r="P1" s="2" t="inlineStr">
        <is>
          <t>Q1 U</t>
        </is>
      </c>
      <c r="Q1" s="2" t="inlineStr">
        <is>
          <t>Q2 U</t>
        </is>
      </c>
      <c r="R1" s="2" t="inlineStr">
        <is>
          <t>Q3 U</t>
        </is>
      </c>
      <c r="S1" s="2" t="inlineStr">
        <is>
          <t>Q1 P</t>
        </is>
      </c>
      <c r="T1" s="2" t="inlineStr">
        <is>
          <t>Q2 P</t>
        </is>
      </c>
      <c r="U1" s="2" t="inlineStr">
        <is>
          <t>Q3 P</t>
        </is>
      </c>
      <c r="V1" s="2" t="inlineStr">
        <is>
          <t>SUS1</t>
        </is>
      </c>
      <c r="W1" s="2" t="inlineStr">
        <is>
          <t>SUS2</t>
        </is>
      </c>
      <c r="X1" s="2" t="inlineStr">
        <is>
          <t>SUS3</t>
        </is>
      </c>
      <c r="Y1" s="2" t="inlineStr">
        <is>
          <t>SUS4</t>
        </is>
      </c>
      <c r="Z1" s="2" t="inlineStr">
        <is>
          <t>SUS5</t>
        </is>
      </c>
      <c r="AA1" s="2" t="inlineStr">
        <is>
          <t>SUS6</t>
        </is>
      </c>
      <c r="AB1" s="2" t="inlineStr">
        <is>
          <t>SUS7</t>
        </is>
      </c>
      <c r="AC1" s="2" t="inlineStr">
        <is>
          <t>SUS8</t>
        </is>
      </c>
      <c r="AD1" s="2" t="inlineStr">
        <is>
          <t>SUS9</t>
        </is>
      </c>
      <c r="AE1" s="2" t="inlineStr">
        <is>
          <t>SUS10</t>
        </is>
      </c>
      <c r="AF1" s="2" t="inlineStr">
        <is>
          <t>skor SUS</t>
        </is>
      </c>
      <c r="AG1" s="2" t="inlineStr">
        <is>
          <t>paling membantu</t>
        </is>
      </c>
      <c r="AH1" s="2" t="inlineStr">
        <is>
          <t>membingungkan</t>
        </is>
      </c>
      <c r="AI1" s="2" t="inlineStr">
        <is>
          <t>pakai lagi? kenapa</t>
        </is>
      </c>
      <c r="AJ1" s="2" t="inlineStr">
        <is>
          <t>titik macet / catatan</t>
        </is>
      </c>
    </row>
    <row r="2">
      <c r="A2" t="inlineStr">
        <is>
          <t>P01</t>
        </is>
      </c>
      <c r="B2" s="3" t="inlineStr"/>
      <c r="C2" s="3" t="inlineStr"/>
      <c r="D2" s="3" t="inlineStr"/>
      <c r="E2" t="inlineStr">
        <is>
          <t>Saran umum dulu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>
        <f>IF(COUNT(V2:AE2)=10,((V2-1)+(X2-1)+(Z2-1)+(AB2-1)+(AD2-1)+(5-W2)+(5-Y2)+(5-AA2)+(5-AC2)+(5-AE2))*2.5,"")</f>
        <v/>
      </c>
      <c r="AG2" s="3" t="inlineStr"/>
      <c r="AH2" s="3" t="inlineStr"/>
      <c r="AI2" s="3" t="inlineStr"/>
      <c r="AJ2" s="3" t="inlineStr"/>
    </row>
    <row r="3">
      <c r="A3" t="inlineStr">
        <is>
          <t>P02</t>
        </is>
      </c>
      <c r="B3" s="3" t="inlineStr"/>
      <c r="C3" s="3" t="inlineStr"/>
      <c r="D3" s="3" t="inlineStr"/>
      <c r="E3" t="inlineStr">
        <is>
          <t>PathSync dulu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>
        <f>IF(COUNT(V3:AE3)=10,((V3-1)+(X3-1)+(Z3-1)+(AB3-1)+(AD3-1)+(5-W3)+(5-Y3)+(5-AA3)+(5-AC3)+(5-AE3))*2.5,"")</f>
        <v/>
      </c>
      <c r="AG3" s="3" t="inlineStr"/>
      <c r="AH3" s="3" t="inlineStr"/>
      <c r="AI3" s="3" t="inlineStr"/>
      <c r="AJ3" s="3" t="inlineStr"/>
    </row>
    <row r="4">
      <c r="A4" t="inlineStr">
        <is>
          <t>P03</t>
        </is>
      </c>
      <c r="B4" s="3" t="inlineStr"/>
      <c r="C4" s="3" t="inlineStr"/>
      <c r="D4" s="3" t="inlineStr"/>
      <c r="E4" t="inlineStr">
        <is>
          <t>Saran umum dulu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>
        <f>IF(COUNT(V4:AE4)=10,((V4-1)+(X4-1)+(Z4-1)+(AB4-1)+(AD4-1)+(5-W4)+(5-Y4)+(5-AA4)+(5-AC4)+(5-AE4))*2.5,"")</f>
        <v/>
      </c>
      <c r="AG4" s="3" t="inlineStr"/>
      <c r="AH4" s="3" t="inlineStr"/>
      <c r="AI4" s="3" t="inlineStr"/>
      <c r="AJ4" s="3" t="inlineStr"/>
    </row>
    <row r="5">
      <c r="A5" t="inlineStr">
        <is>
          <t>P04</t>
        </is>
      </c>
      <c r="B5" s="3" t="inlineStr"/>
      <c r="C5" s="3" t="inlineStr"/>
      <c r="D5" s="3" t="inlineStr"/>
      <c r="E5" t="inlineStr">
        <is>
          <t>PathSync dulu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>
        <f>IF(COUNT(V5:AE5)=10,((V5-1)+(X5-1)+(Z5-1)+(AB5-1)+(AD5-1)+(5-W5)+(5-Y5)+(5-AA5)+(5-AC5)+(5-AE5))*2.5,"")</f>
        <v/>
      </c>
      <c r="AG5" s="3" t="inlineStr"/>
      <c r="AH5" s="3" t="inlineStr"/>
      <c r="AI5" s="3" t="inlineStr"/>
      <c r="AJ5" s="3" t="inlineStr"/>
    </row>
    <row r="6">
      <c r="A6" t="inlineStr">
        <is>
          <t>P05</t>
        </is>
      </c>
      <c r="B6" s="3" t="inlineStr"/>
      <c r="C6" s="3" t="inlineStr"/>
      <c r="D6" s="3" t="inlineStr"/>
      <c r="E6" t="inlineStr">
        <is>
          <t>Saran umum dulu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>
        <f>IF(COUNT(V6:AE6)=10,((V6-1)+(X6-1)+(Z6-1)+(AB6-1)+(AD6-1)+(5-W6)+(5-Y6)+(5-AA6)+(5-AC6)+(5-AE6))*2.5,"")</f>
        <v/>
      </c>
      <c r="AG6" s="3" t="inlineStr"/>
      <c r="AH6" s="3" t="inlineStr"/>
      <c r="AI6" s="3" t="inlineStr"/>
      <c r="AJ6" s="3" t="inlineStr"/>
    </row>
    <row r="7">
      <c r="A7" t="inlineStr">
        <is>
          <t>P06</t>
        </is>
      </c>
      <c r="B7" s="3" t="inlineStr"/>
      <c r="C7" s="3" t="inlineStr"/>
      <c r="D7" s="3" t="inlineStr"/>
      <c r="E7" t="inlineStr">
        <is>
          <t>PathSync dulu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>
        <f>IF(COUNT(V7:AE7)=10,((V7-1)+(X7-1)+(Z7-1)+(AB7-1)+(AD7-1)+(5-W7)+(5-Y7)+(5-AA7)+(5-AC7)+(5-AE7))*2.5,"")</f>
        <v/>
      </c>
      <c r="AG7" s="3" t="inlineStr"/>
      <c r="AH7" s="3" t="inlineStr"/>
      <c r="AI7" s="3" t="inlineStr"/>
      <c r="AJ7" s="3" t="inlineStr"/>
    </row>
    <row r="8">
      <c r="A8" t="inlineStr">
        <is>
          <t>P07</t>
        </is>
      </c>
      <c r="B8" s="3" t="inlineStr"/>
      <c r="C8" s="3" t="inlineStr"/>
      <c r="D8" s="3" t="inlineStr"/>
      <c r="E8" t="inlineStr">
        <is>
          <t>Saran umum dulu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>
        <f>IF(COUNT(V8:AE8)=10,((V8-1)+(X8-1)+(Z8-1)+(AB8-1)+(AD8-1)+(5-W8)+(5-Y8)+(5-AA8)+(5-AC8)+(5-AE8))*2.5,"")</f>
        <v/>
      </c>
      <c r="AG8" s="3" t="inlineStr"/>
      <c r="AH8" s="3" t="inlineStr"/>
      <c r="AI8" s="3" t="inlineStr"/>
      <c r="AJ8" s="3" t="inlineStr"/>
    </row>
    <row r="9">
      <c r="A9" t="inlineStr">
        <is>
          <t>P08</t>
        </is>
      </c>
      <c r="B9" s="3" t="inlineStr"/>
      <c r="C9" s="3" t="inlineStr"/>
      <c r="D9" s="3" t="inlineStr"/>
      <c r="E9" t="inlineStr">
        <is>
          <t>PathSync dulu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>
        <f>IF(COUNT(V9:AE9)=10,((V9-1)+(X9-1)+(Z9-1)+(AB9-1)+(AD9-1)+(5-W9)+(5-Y9)+(5-AA9)+(5-AC9)+(5-AE9))*2.5,"")</f>
        <v/>
      </c>
      <c r="AG9" s="3" t="inlineStr"/>
      <c r="AH9" s="3" t="inlineStr"/>
      <c r="AI9" s="3" t="inlineStr"/>
      <c r="AJ9" s="3" t="inlineStr"/>
    </row>
    <row r="10">
      <c r="A10" t="inlineStr">
        <is>
          <t>P09</t>
        </is>
      </c>
      <c r="B10" s="3" t="inlineStr"/>
      <c r="C10" s="3" t="inlineStr"/>
      <c r="D10" s="3" t="inlineStr"/>
      <c r="E10" t="inlineStr">
        <is>
          <t>Saran umum dulu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>
        <f>IF(COUNT(V10:AE10)=10,((V10-1)+(X10-1)+(Z10-1)+(AB10-1)+(AD10-1)+(5-W10)+(5-Y10)+(5-AA10)+(5-AC10)+(5-AE10))*2.5,"")</f>
        <v/>
      </c>
      <c r="AG10" s="3" t="inlineStr"/>
      <c r="AH10" s="3" t="inlineStr"/>
      <c r="AI10" s="3" t="inlineStr"/>
      <c r="AJ10" s="3" t="inlineStr"/>
    </row>
    <row r="11">
      <c r="A11" t="inlineStr">
        <is>
          <t>P10</t>
        </is>
      </c>
      <c r="B11" s="3" t="inlineStr"/>
      <c r="C11" s="3" t="inlineStr"/>
      <c r="D11" s="3" t="inlineStr"/>
      <c r="E11" t="inlineStr">
        <is>
          <t>PathSync dulu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>
        <f>IF(COUNT(V11:AE11)=10,((V11-1)+(X11-1)+(Z11-1)+(AB11-1)+(AD11-1)+(5-W11)+(5-Y11)+(5-AA11)+(5-AC11)+(5-AE11))*2.5,"")</f>
        <v/>
      </c>
      <c r="AG11" s="3" t="inlineStr"/>
      <c r="AH11" s="3" t="inlineStr"/>
      <c r="AI11" s="3" t="inlineStr"/>
      <c r="AJ11" s="3" t="inlineStr"/>
    </row>
    <row r="12">
      <c r="A12" t="inlineStr">
        <is>
          <t>P11</t>
        </is>
      </c>
      <c r="B12" s="3" t="inlineStr"/>
      <c r="C12" s="3" t="inlineStr"/>
      <c r="D12" s="3" t="inlineStr"/>
      <c r="E12" t="inlineStr">
        <is>
          <t>Saran umum dulu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>
        <f>IF(COUNT(V12:AE12)=10,((V12-1)+(X12-1)+(Z12-1)+(AB12-1)+(AD12-1)+(5-W12)+(5-Y12)+(5-AA12)+(5-AC12)+(5-AE12))*2.5,"")</f>
        <v/>
      </c>
      <c r="AG12" s="3" t="inlineStr"/>
      <c r="AH12" s="3" t="inlineStr"/>
      <c r="AI12" s="3" t="inlineStr"/>
      <c r="AJ12" s="3" t="inlineStr"/>
    </row>
    <row r="13">
      <c r="A13" t="inlineStr">
        <is>
          <t>P12</t>
        </is>
      </c>
      <c r="B13" s="3" t="inlineStr"/>
      <c r="C13" s="3" t="inlineStr"/>
      <c r="D13" s="3" t="inlineStr"/>
      <c r="E13" t="inlineStr">
        <is>
          <t>PathSync dulu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>
        <f>IF(COUNT(V13:AE13)=10,((V13-1)+(X13-1)+(Z13-1)+(AB13-1)+(AD13-1)+(5-W13)+(5-Y13)+(5-AA13)+(5-AC13)+(5-AE13))*2.5,"")</f>
        <v/>
      </c>
      <c r="AG13" s="3" t="inlineStr"/>
      <c r="AH13" s="3" t="inlineStr"/>
      <c r="AI13" s="3" t="inlineStr"/>
      <c r="AJ13" s="3" t="inlineStr"/>
    </row>
    <row r="14">
      <c r="A14" t="inlineStr">
        <is>
          <t>P13</t>
        </is>
      </c>
      <c r="B14" s="3" t="inlineStr"/>
      <c r="C14" s="3" t="inlineStr"/>
      <c r="D14" s="3" t="inlineStr"/>
      <c r="E14" t="inlineStr">
        <is>
          <t>Saran umum dulu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>
        <f>IF(COUNT(V14:AE14)=10,((V14-1)+(X14-1)+(Z14-1)+(AB14-1)+(AD14-1)+(5-W14)+(5-Y14)+(5-AA14)+(5-AC14)+(5-AE14))*2.5,"")</f>
        <v/>
      </c>
      <c r="AG14" s="3" t="inlineStr"/>
      <c r="AH14" s="3" t="inlineStr"/>
      <c r="AI14" s="3" t="inlineStr"/>
      <c r="AJ14" s="3" t="inlineStr"/>
    </row>
    <row r="15">
      <c r="A15" t="inlineStr">
        <is>
          <t>P14</t>
        </is>
      </c>
      <c r="B15" s="3" t="inlineStr"/>
      <c r="C15" s="3" t="inlineStr"/>
      <c r="D15" s="3" t="inlineStr"/>
      <c r="E15" t="inlineStr">
        <is>
          <t>PathSync dulu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>
        <f>IF(COUNT(V15:AE15)=10,((V15-1)+(X15-1)+(Z15-1)+(AB15-1)+(AD15-1)+(5-W15)+(5-Y15)+(5-AA15)+(5-AC15)+(5-AE15))*2.5,"")</f>
        <v/>
      </c>
      <c r="AG15" s="3" t="inlineStr"/>
      <c r="AH15" s="3" t="inlineStr"/>
      <c r="AI15" s="3" t="inlineStr"/>
      <c r="AJ15" s="3" t="inlineStr"/>
    </row>
    <row r="16">
      <c r="A16" t="inlineStr">
        <is>
          <t>P15</t>
        </is>
      </c>
      <c r="B16" s="3" t="inlineStr"/>
      <c r="C16" s="3" t="inlineStr"/>
      <c r="D16" s="3" t="inlineStr"/>
      <c r="E16" t="inlineStr">
        <is>
          <t>Saran umum dulu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>
        <f>IF(COUNT(V16:AE16)=10,((V16-1)+(X16-1)+(Z16-1)+(AB16-1)+(AD16-1)+(5-W16)+(5-Y16)+(5-AA16)+(5-AC16)+(5-AE16))*2.5,"")</f>
        <v/>
      </c>
      <c r="AG16" s="3" t="inlineStr"/>
      <c r="AH16" s="3" t="inlineStr"/>
      <c r="AI16" s="3" t="inlineStr"/>
      <c r="AJ16" s="3" t="inlineStr"/>
    </row>
    <row r="17">
      <c r="A17" t="inlineStr">
        <is>
          <t>P16</t>
        </is>
      </c>
      <c r="B17" s="3" t="inlineStr"/>
      <c r="C17" s="3" t="inlineStr"/>
      <c r="D17" s="3" t="inlineStr"/>
      <c r="E17" t="inlineStr">
        <is>
          <t>PathSync dulu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>
        <f>IF(COUNT(V17:AE17)=10,((V17-1)+(X17-1)+(Z17-1)+(AB17-1)+(AD17-1)+(5-W17)+(5-Y17)+(5-AA17)+(5-AC17)+(5-AE17))*2.5,"")</f>
        <v/>
      </c>
      <c r="AG17" s="3" t="inlineStr"/>
      <c r="AH17" s="3" t="inlineStr"/>
      <c r="AI17" s="3" t="inlineStr"/>
      <c r="AJ17" s="3" t="inlineStr"/>
    </row>
    <row r="18">
      <c r="A18" t="inlineStr">
        <is>
          <t>P17</t>
        </is>
      </c>
      <c r="B18" s="3" t="inlineStr"/>
      <c r="C18" s="3" t="inlineStr"/>
      <c r="D18" s="3" t="inlineStr"/>
      <c r="E18" t="inlineStr">
        <is>
          <t>Saran umum dulu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>
        <f>IF(COUNT(V18:AE18)=10,((V18-1)+(X18-1)+(Z18-1)+(AB18-1)+(AD18-1)+(5-W18)+(5-Y18)+(5-AA18)+(5-AC18)+(5-AE18))*2.5,"")</f>
        <v/>
      </c>
      <c r="AG18" s="3" t="inlineStr"/>
      <c r="AH18" s="3" t="inlineStr"/>
      <c r="AI18" s="3" t="inlineStr"/>
      <c r="AJ18" s="3" t="inlineStr"/>
    </row>
    <row r="19">
      <c r="A19" t="inlineStr">
        <is>
          <t>P18</t>
        </is>
      </c>
      <c r="B19" s="3" t="inlineStr"/>
      <c r="C19" s="3" t="inlineStr"/>
      <c r="D19" s="3" t="inlineStr"/>
      <c r="E19" t="inlineStr">
        <is>
          <t>PathSync dulu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>
        <f>IF(COUNT(V19:AE19)=10,((V19-1)+(X19-1)+(Z19-1)+(AB19-1)+(AD19-1)+(5-W19)+(5-Y19)+(5-AA19)+(5-AC19)+(5-AE19))*2.5,"")</f>
        <v/>
      </c>
      <c r="AG19" s="3" t="inlineStr"/>
      <c r="AH19" s="3" t="inlineStr"/>
      <c r="AI19" s="3" t="inlineStr"/>
      <c r="AJ19" s="3" t="inlineStr"/>
    </row>
    <row r="20">
      <c r="A20" t="inlineStr">
        <is>
          <t>P19</t>
        </is>
      </c>
      <c r="B20" s="3" t="inlineStr"/>
      <c r="C20" s="3" t="inlineStr"/>
      <c r="D20" s="3" t="inlineStr"/>
      <c r="E20" t="inlineStr">
        <is>
          <t>Saran umum dulu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>
        <f>IF(COUNT(V20:AE20)=10,((V20-1)+(X20-1)+(Z20-1)+(AB20-1)+(AD20-1)+(5-W20)+(5-Y20)+(5-AA20)+(5-AC20)+(5-AE20))*2.5,"")</f>
        <v/>
      </c>
      <c r="AG20" s="3" t="inlineStr"/>
      <c r="AH20" s="3" t="inlineStr"/>
      <c r="AI20" s="3" t="inlineStr"/>
      <c r="AJ20" s="3" t="inlineStr"/>
    </row>
    <row r="21">
      <c r="A21" t="inlineStr">
        <is>
          <t>P20</t>
        </is>
      </c>
      <c r="B21" s="3" t="inlineStr"/>
      <c r="C21" s="3" t="inlineStr"/>
      <c r="D21" s="3" t="inlineStr"/>
      <c r="E21" t="inlineStr">
        <is>
          <t>PathSync dulu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>
        <f>IF(COUNT(V21:AE21)=10,((V21-1)+(X21-1)+(Z21-1)+(AB21-1)+(AD21-1)+(5-W21)+(5-Y21)+(5-AA21)+(5-AC21)+(5-AE21))*2.5,"")</f>
        <v/>
      </c>
      <c r="AG21" s="3" t="inlineStr"/>
      <c r="AH21" s="3" t="inlineStr"/>
      <c r="AI21" s="3" t="inlineStr"/>
      <c r="AJ21" s="3" t="inlineStr"/>
    </row>
  </sheetData>
  <dataValidations count="2">
    <dataValidation sqref="G2:G21 H2:H21 J2:J21 L2:L21 N2:N21 O2:O21" showDropDown="0" showInputMessage="0" showErrorMessage="0" allowBlank="1" type="list">
      <formula1>"ya,tidak"</formula1>
    </dataValidation>
    <dataValidation sqref="P2:P21 Q2:Q21 R2:R21 S2:S21 T2:T21 U2:U21 V2:V21 W2:W21 X2:X21 Y2:Y21 Z2:Z21 AA2:AA21 AB2:AB21 AC2:AC21 AD2:AD21 AE2:AE2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</cols>
  <sheetData>
    <row r="1">
      <c r="A1" s="4" t="inlineStr">
        <is>
          <t>ukuran</t>
        </is>
      </c>
      <c r="B1" s="4" t="inlineStr">
        <is>
          <t>nilai</t>
        </is>
      </c>
      <c r="C1" s="4" t="inlineStr">
        <is>
          <t>target</t>
        </is>
      </c>
    </row>
    <row r="2">
      <c r="A2" t="inlineStr">
        <is>
          <t>jumlah peserta terisi</t>
        </is>
      </c>
      <c r="B2">
        <f>COUNTA(Peserta!G2:G21)</f>
        <v/>
      </c>
      <c r="C2" t="inlineStr">
        <is>
          <t>10-20</t>
        </is>
      </c>
    </row>
    <row r="3">
      <c r="A3" t="inlineStr">
        <is>
          <t>sukses T1 paham tujuan</t>
        </is>
      </c>
      <c r="B3" s="5">
        <f>IFERROR(COUNTIF(Peserta!G2:G21,"ya")/COUNTA(Peserta!G2:G21),"")</f>
        <v/>
      </c>
      <c r="C3" t="inlineStr">
        <is>
          <t>≥ 80%</t>
        </is>
      </c>
    </row>
    <row r="4">
      <c r="A4" t="inlineStr">
        <is>
          <t>sukses T2 sampai langkah pertama</t>
        </is>
      </c>
      <c r="B4" s="5">
        <f>IFERROR(COUNTIF(Peserta!H2:H21,"ya")/COUNTA(Peserta!H2:H21),"")</f>
        <v/>
      </c>
      <c r="C4" t="inlineStr">
        <is>
          <t>≥ 80%</t>
        </is>
      </c>
    </row>
    <row r="5">
      <c r="A5" t="inlineStr">
        <is>
          <t>sukses T3 Quick Check selesai</t>
        </is>
      </c>
      <c r="B5" s="5">
        <f>IFERROR(COUNTIF(Peserta!J2:J21,"ya")/COUNTA(Peserta!J2:J21),"")</f>
        <v/>
      </c>
      <c r="C5" t="inlineStr">
        <is>
          <t>≥ 60%</t>
        </is>
      </c>
    </row>
    <row r="6">
      <c r="A6" t="inlineStr">
        <is>
          <t>sukses T4 jawab benar</t>
        </is>
      </c>
      <c r="B6" s="5">
        <f>IFERROR(COUNTIF(Peserta!L2:L21,"ya")/COUNTA(Peserta!L2:L21),"")</f>
        <v/>
      </c>
      <c r="C6" t="inlineStr">
        <is>
          <t>≥ 80%</t>
        </is>
      </c>
    </row>
    <row r="7">
      <c r="A7" t="inlineStr">
        <is>
          <t>sukses T5a Bottleneck</t>
        </is>
      </c>
      <c r="B7" s="5">
        <f>IFERROR(COUNTIF(Peserta!N2:N21,"ya")/COUNTA(Peserta!N2:N21),"")</f>
        <v/>
      </c>
      <c r="C7" t="inlineStr">
        <is>
          <t>≥ 80%</t>
        </is>
      </c>
    </row>
    <row r="8">
      <c r="A8" t="inlineStr">
        <is>
          <t>sukses T5b Prove It</t>
        </is>
      </c>
      <c r="B8" s="5">
        <f>IFERROR(COUNTIF(Peserta!O2:O21,"ya")/COUNTA(Peserta!O2:O21),"")</f>
        <v/>
      </c>
      <c r="C8" t="inlineStr">
        <is>
          <t>≥ 80%</t>
        </is>
      </c>
    </row>
    <row r="9">
      <c r="A9" t="inlineStr">
        <is>
          <t>median T2 menit</t>
        </is>
      </c>
      <c r="B9">
        <f>IFERROR(MEDIAN(Peserta!I2:I21),"")</f>
        <v/>
      </c>
      <c r="C9" t="inlineStr">
        <is>
          <t>≤ 5</t>
        </is>
      </c>
    </row>
    <row r="10">
      <c r="A10" t="inlineStr">
        <is>
          <t>median T3 menit</t>
        </is>
      </c>
      <c r="B10">
        <f>IFERROR(MEDIAN(Peserta!K2:K21),"")</f>
        <v/>
      </c>
      <c r="C10" t="inlineStr"/>
    </row>
    <row r="11">
      <c r="A11" t="inlineStr">
        <is>
          <t>median T4 detik</t>
        </is>
      </c>
      <c r="B11">
        <f>IFERROR(MEDIAN(Peserta!M2:M21),"")</f>
        <v/>
      </c>
      <c r="C11" t="inlineStr">
        <is>
          <t>≤ 30</t>
        </is>
      </c>
    </row>
    <row r="12">
      <c r="A12" t="inlineStr">
        <is>
          <t>rata-rata Q1 saran umum</t>
        </is>
      </c>
      <c r="B12">
        <f>IFERROR(AVERAGE(Peserta!P2:P21),"")</f>
        <v/>
      </c>
      <c r="C12" t="inlineStr"/>
    </row>
    <row r="13">
      <c r="A13" t="inlineStr">
        <is>
          <t>rata-rata Q1 PathSync</t>
        </is>
      </c>
      <c r="B13">
        <f>IFERROR(AVERAGE(Peserta!S2:S21),"")</f>
        <v/>
      </c>
      <c r="C13" t="inlineStr">
        <is>
          <t>≥ 4,0 untuk Q1</t>
        </is>
      </c>
    </row>
    <row r="14">
      <c r="A14" t="inlineStr">
        <is>
          <t>rata-rata Q2 saran umum</t>
        </is>
      </c>
      <c r="B14">
        <f>IFERROR(AVERAGE(Peserta!Q2:Q21),"")</f>
        <v/>
      </c>
      <c r="C14" t="inlineStr"/>
    </row>
    <row r="15">
      <c r="A15" t="inlineStr">
        <is>
          <t>rata-rata Q2 PathSync</t>
        </is>
      </c>
      <c r="B15">
        <f>IFERROR(AVERAGE(Peserta!T2:T21),"")</f>
        <v/>
      </c>
      <c r="C15" t="inlineStr"/>
    </row>
    <row r="16">
      <c r="A16" t="inlineStr">
        <is>
          <t>rata-rata Q3 saran umum</t>
        </is>
      </c>
      <c r="B16">
        <f>IFERROR(AVERAGE(Peserta!R2:R21),"")</f>
        <v/>
      </c>
      <c r="C16" t="inlineStr"/>
    </row>
    <row r="17">
      <c r="A17" t="inlineStr">
        <is>
          <t>rata-rata Q3 PathSync</t>
        </is>
      </c>
      <c r="B17">
        <f>IFERROR(AVERAGE(Peserta!U2:U21),"")</f>
        <v/>
      </c>
      <c r="C17" t="inlineStr"/>
    </row>
    <row r="18">
      <c r="A18" t="inlineStr">
        <is>
          <t>rata-rata skor SUS</t>
        </is>
      </c>
      <c r="B18">
        <f>IFERROR(AVERAGE(Peserta!AF2:AF21),"")</f>
        <v/>
      </c>
      <c r="C18" t="inlineStr">
        <is>
          <t>≥ 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2026-10-17T11:20:45Z</dcterms:created>
  <dcterms:modified xmlns:dcterms="http://purl.org/dc/terms/" xmlns:xsi="http://www.w3.org/2001/XMLSchema-instance" xsi:type="dcterms:W3CDTF">2026-10-17T11:20:45Z</dcterms:modified>
</cp:coreProperties>
</file>